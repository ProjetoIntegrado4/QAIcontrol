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c494cb7744e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 PESTEL" sheetId="1" r:id="Rae3744144b51495d"/>
    <x:sheet xmlns:r="http://schemas.openxmlformats.org/officeDocument/2006/relationships" name="2.1 Mercado" sheetId="2" r:id="R1f34a6d7c3024b74"/>
    <x:sheet xmlns:r="http://schemas.openxmlformats.org/officeDocument/2006/relationships" name="2.3 CPM" sheetId="3" r:id="R2e89f34deb70436f"/>
    <x:sheet xmlns:r="http://schemas.openxmlformats.org/officeDocument/2006/relationships" name="3 Cinco Forças" sheetId="4" r:id="Rcdbc17c4d9224ed8"/>
    <x:sheet xmlns:r="http://schemas.openxmlformats.org/officeDocument/2006/relationships" name="4 Clientes" sheetId="5" r:id="R71ef29d7edc94d42"/>
    <x:sheet xmlns:r="http://schemas.openxmlformats.org/officeDocument/2006/relationships" name="5 Cadeia" sheetId="6" r:id="Rb564495169ca42d7"/>
    <x:sheet xmlns:r="http://schemas.openxmlformats.org/officeDocument/2006/relationships" name="6 Interno e VRIO" sheetId="7" r:id="R88bb9d122fe44cbd"/>
    <x:sheet xmlns:r="http://schemas.openxmlformats.org/officeDocument/2006/relationships" name="7 SWOT Ponderada" sheetId="8" r:id="R560898e683094a64"/>
    <x:sheet xmlns:r="http://schemas.openxmlformats.org/officeDocument/2006/relationships" name="8 SWOT Cruzada" sheetId="9" r:id="Rfe087daa45fd444d"/>
    <x:sheet xmlns:r="http://schemas.openxmlformats.org/officeDocument/2006/relationships" name="10 Matriz Final" sheetId="10" r:id="Ra9d70b5cb86d4a04"/>
  </x:sheets>
</x:workbook>
</file>

<file path=xl/sharedStrings.xml><?xml version="1.0" encoding="utf-8"?>
<x:sst xmlns:x="http://schemas.openxmlformats.org/spreadsheetml/2006/main">
  <x:si>
    <x:t xml:space="preserve">1. Quadro-síntese do macroambiente (PESTEL)</x:t>
  </x:si>
  <x:si>
    <x:t xml:space="preserve">2.1 Mercado e setor — série histórica e quadro-síntese</x:t>
  </x:si>
  <x:si>
    <x:t xml:space="preserve">2.3 Competitive Profile Matrix (CPM)</x:t>
  </x:si>
  <x:si>
    <x:t xml:space="preserve">3. Quadro-síntese — Cinco Forças de Porter</x:t>
  </x:si>
  <x:si>
    <x:t xml:space="preserve">4. Quadro-síntese — Clientes (6W + 1W)</x:t>
  </x:si>
  <x:si>
    <x:t xml:space="preserve">5. Quadro-síntese — Fornecedores e parceiros da cadeia</x:t>
  </x:si>
  <x:si>
    <x:t xml:space="preserve">6. Ambiente interno — VRIO e quadro-síntese</x:t>
  </x:si>
  <x:si>
    <x:t xml:space="preserve">7. SWOT ponderada — consolidação (sem informação nova)</x:t>
  </x:si>
  <x:si>
    <x:t xml:space="preserve">8. SWOT cruzada — cruzamentos ponderados</x:t>
  </x:si>
  <x:si>
    <x:t xml:space="preserve">10. Matriz final de prioridades para o Plano de Marketing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</x:si>
</x:sst>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0%"/>
    <x:numFmt numFmtId="166" formatCode="0.00"/>
    <x:numFmt numFmtId="167" formatCode="General"/>
    <x:numFmt numFmtId="168" formatCode="0.0"/>
    <x:numFmt numFmtId="169" formatCode="0.0%"/>
    <x:numFmt numFmtId="170" formatCode="0"/>
    <x:numFmt numFmtId="200" formatCode="0.0000"/>
    <x:numFmt numFmtId="201" formatCode="0.00%"/>
  </x:numFmts>
  <x:fonts count="17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3"/>
      <x:color rgb="FF0B3C49"/>
      <x:name val="Arial"/>
    </x:font>
    <x:font>
      <x:i/>
      <x:sz val="9"/>
      <x:color rgb="FF555555"/>
      <x:name val="Arial"/>
    </x:font>
    <x:font>
      <x:b/>
      <x:sz val="9"/>
      <x:color rgb="FFFFFFFF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2A7F62"/>
      <x:name val="Arial"/>
    </x:font>
    <x:font>
      <x:sz val="9"/>
      <x:color rgb="FF0000FF"/>
      <x:name val="Arial"/>
    </x:font>
    <x:font>
      <x:b/>
      <x:sz val="9"/>
      <x:color rgb="FFB23A2B"/>
      <x:name val="Arial"/>
    </x:font>
    <x:font>
      <x:b/>
      <x:sz val="16"/>
      <x:color rgb="FFFFFFFF"/>
      <x:name val="Calibri"/>
    </x:font>
    <x:font>
      <x:i/>
      <x:sz val="11"/>
      <x:color rgb="FF334155"/>
      <x:name val="Calibri"/>
    </x:font>
    <x:font>
      <x:sz val="11"/>
      <x:color rgb="FF17252A"/>
      <x:name val="Calibri"/>
    </x:font>
    <x:font>
      <x:b/>
      <x:sz val="11"/>
      <x:color rgb="FFFFFFFF"/>
      <x:name val="Calibri"/>
    </x:font>
    <x:font>
      <x:sz val="11"/>
      <x:color rgb="FF334155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0B3C49"/>
      </x:patternFill>
    </x:fill>
    <x:fill>
      <x:patternFill patternType="solid">
        <x:fgColor rgb="FFFDF1DC"/>
      </x:patternFill>
    </x:fill>
    <x:fill>
      <x:patternFill patternType="solid">
        <x:fgColor rgb="FFE6EFF1"/>
      </x:patternFill>
    </x:fill>
    <x:fill>
      <x:patternFill patternType="solid">
        <x:fgColor rgb="FF0B3C49"/>
      </x:patternFill>
    </x:fill>
    <x:fill>
      <x:patternFill patternType="solid">
        <x:fgColor rgb="FFEAF3F5"/>
      </x:patternFill>
    </x:fill>
    <x:fill>
      <x:patternFill patternType="solid">
        <x:fgColor rgb="FFF0F6F8"/>
      </x:patternFill>
    </x:fill>
    <x:fill>
      <x:patternFill patternType="solid">
        <x:fgColor rgb="FFFFF4DE"/>
      </x:patternFill>
    </x:fill>
    <x:fill>
      <x:patternFill patternType="solid">
        <x:fgColor rgb="FFFFF4DE"/>
      </x:patternFill>
    </x:fill>
  </x:fills>
  <x:borders count="3">
    <x:border diagonalUp="0" diagonalDown="0"/>
    <x:border diagonalUp="0" diagonalDown="0">
      <x:left style="thin">
        <x:color rgb="FFB7C9CE"/>
      </x:left>
      <x:right style="thin">
        <x:color rgb="FFB7C9CE"/>
      </x:right>
      <x:top style="thin">
        <x:color rgb="FFB7C9CE"/>
      </x:top>
      <x:bottom style="thin">
        <x:color rgb="FFB7C9CE"/>
      </x:bottom>
    </x:border>
    <x:border diagonalUp="0" diagonalDown="0">
      <x:left style="thin">
        <x:color rgb="FFD9E5E9"/>
      </x:left>
      <x:right style="thin">
        <x:color rgb="FFD9E5E9"/>
      </x:right>
      <x:top style="thin">
        <x:color rgb="FFD9E5E9"/>
      </x:top>
      <x:bottom style="thin">
        <x:color rgb="FFD9E5E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6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1" applyAlignment="1">
      <x:alignment horizontal="general" vertical="top" wrapText="1"/>
    </x:xf>
    <x:xf numFmtId="164" fontId="6" fillId="2" borderId="1" xfId="0" applyFont="1" applyBorder="1" applyAlignment="1">
      <x:alignment horizontal="center" vertical="center" wrapText="1"/>
    </x:xf>
    <x:xf numFmtId="164" fontId="7" fillId="0" borderId="1" xfId="0" applyFont="1" applyBorder="1" applyAlignment="1">
      <x:alignment horizontal="left" vertical="top" wrapText="1"/>
    </x:xf>
    <x:xf numFmtId="164" fontId="8" fillId="0" borderId="1" xfId="0" applyFont="1" applyBorder="1" applyAlignment="1">
      <x:alignment horizontal="left" vertical="top" wrapText="1"/>
    </x:xf>
    <x:xf numFmtId="164" fontId="9" fillId="0" borderId="1" xfId="0" applyFont="1" applyBorder="1" applyAlignment="1">
      <x:alignment horizontal="center" vertical="top" wrapText="1"/>
    </x:xf>
    <x:xf numFmtId="164" fontId="10" fillId="3" borderId="1" xfId="0" applyFont="1" applyBorder="1" applyAlignment="1">
      <x:alignment horizontal="center" vertical="top" wrapText="1"/>
    </x:xf>
    <x:xf numFmtId="165" fontId="10" fillId="3" borderId="1" xfId="0" applyFont="1" applyBorder="1" applyAlignment="1">
      <x:alignment horizontal="center" vertical="top" wrapText="1"/>
    </x:xf>
    <x:xf numFmtId="166" fontId="7" fillId="0" borderId="1" xfId="0" applyFont="1" applyBorder="1" applyAlignment="1">
      <x:alignment horizontal="center" vertical="top" wrapText="1"/>
    </x:xf>
    <x:xf numFmtId="167" fontId="8" fillId="0" borderId="1" xfId="0" applyFont="1" applyBorder="1" applyAlignment="1">
      <x:alignment horizontal="center" vertical="top" wrapText="1"/>
    </x:xf>
    <x:xf numFmtId="164" fontId="11" fillId="0" borderId="1" xfId="0" applyFont="1" applyBorder="1" applyAlignment="1">
      <x:alignment horizontal="center" vertical="top" wrapText="1"/>
    </x:xf>
    <x:xf numFmtId="164" fontId="7" fillId="4" borderId="1" xfId="0" applyFont="1" applyBorder="1" applyAlignment="1">
      <x:alignment horizontal="left" vertical="top" wrapText="1"/>
    </x:xf>
    <x:xf numFmtId="165" fontId="7" fillId="4" borderId="1" xfId="0" applyFont="1" applyBorder="1" applyAlignment="1">
      <x:alignment horizontal="center" vertical="top" wrapText="1"/>
    </x:xf>
    <x:xf numFmtId="166" fontId="7" fillId="4" borderId="1" xfId="0" applyFont="1" applyBorder="1" applyAlignment="1">
      <x:alignment horizontal="center" vertical="top" wrapText="1"/>
    </x:xf>
    <x:xf numFmtId="166" fontId="8" fillId="0" borderId="1" xfId="0" applyFont="1" applyBorder="1" applyAlignment="1">
      <x:alignment horizontal="center" vertical="top" wrapText="1"/>
    </x:xf>
    <x:xf numFmtId="164" fontId="7" fillId="0" borderId="1" xfId="0" applyFont="1" applyBorder="1" applyAlignment="1">
      <x:alignment horizontal="center" vertical="top" wrapText="1"/>
    </x:xf>
    <x:xf numFmtId="164" fontId="6" fillId="2" borderId="1" xfId="0" applyFont="1" applyBorder="1" applyAlignment="1">
      <x:alignment horizontal="center" vertical="top" wrapText="1"/>
    </x:xf>
    <x:xf numFmtId="168" fontId="10" fillId="3" borderId="1" xfId="0" applyFont="1" applyBorder="1" applyAlignment="1">
      <x:alignment horizontal="center" vertical="top" wrapText="1"/>
    </x:xf>
    <x:xf numFmtId="169" fontId="10" fillId="3" borderId="1" xfId="0" applyFont="1" applyBorder="1" applyAlignment="1">
      <x:alignment horizontal="center" vertical="top" wrapText="1"/>
    </x:xf>
    <x:xf numFmtId="168" fontId="8" fillId="0" borderId="1" xfId="0" applyFont="1" applyBorder="1" applyAlignment="1">
      <x:alignment horizontal="center" vertical="top" wrapText="1"/>
    </x:xf>
    <x:xf numFmtId="166" fontId="10" fillId="3" borderId="1" xfId="0" applyFont="1" applyBorder="1" applyAlignment="1">
      <x:alignment horizontal="center" vertical="top" wrapText="1"/>
    </x:xf>
    <x:xf numFmtId="167" fontId="7" fillId="0" borderId="1" xfId="0" applyFont="1" applyBorder="1" applyAlignment="1">
      <x:alignment horizontal="center" vertical="top" wrapText="1"/>
    </x:xf>
    <x:xf numFmtId="165" fontId="8" fillId="0" borderId="1" xfId="0" applyFont="1" applyBorder="1" applyAlignment="1">
      <x:alignment horizontal="center" vertical="top" wrapText="1"/>
    </x:xf>
    <x:xf numFmtId="170" fontId="7" fillId="0" borderId="1" xfId="0" applyFont="1" applyBorder="1" applyAlignment="1">
      <x:alignment horizontal="center" vertical="top" wrapText="1"/>
    </x:xf>
    <x:xf numFmtId="169" fontId="8" fillId="0" borderId="1" xfId="0" applyFont="1" applyBorder="1" applyAlignment="1">
      <x:alignment horizontal="center" vertical="top" wrapText="1"/>
    </x:xf>
    <x:xf numFmtId="170" fontId="7" fillId="4" borderId="1" xfId="0" applyFont="1" applyBorder="1" applyAlignment="1">
      <x:alignment horizontal="center" vertical="top" wrapText="1"/>
    </x:xf>
    <x:xf numFmtId="169" fontId="7" fillId="4" borderId="1" xfId="0" applyFont="1" applyBorder="1" applyAlignment="1">
      <x:alignment horizontal="center" vertical="top" wrapText="1"/>
    </x:xf>
    <x:xf numFmtId="164" fontId="4" fillId="5" borderId="0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1"/>
    </x:xf>
    <x:xf numFmtId="164" fontId="5" fillId="6" borderId="0" xfId="0" applyNumberFormat="1" applyFont="1" applyFill="1" applyBorder="1" applyAlignment="1">
      <x:alignment horizontal="general" vertical="top" wrapText="1"/>
    </x:xf>
    <x:xf numFmtId="164" fontId="13" fillId="6" borderId="0" xfId="0" applyNumberFormat="1" applyFont="1" applyFill="1" applyBorder="1" applyAlignment="1">
      <x:alignment horizontal="general" vertical="top" wrapText="1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1"/>
    </x:xf>
    <x:xf numFmtId="164" fontId="14" fillId="0" borderId="0" xfId="0" applyNumberFormat="1" applyFont="1" applyFill="1" applyBorder="1" applyAlignment="1">
      <x:alignment horizontal="general" vertical="center" wrapText="1"/>
    </x:xf>
    <x:xf numFmtId="164" fontId="14" fillId="5" borderId="0" xfId="0" applyNumberFormat="1" applyFont="1" applyFill="1" applyBorder="1" applyAlignment="1">
      <x:alignment horizontal="general" vertical="center" wrapText="1"/>
    </x:xf>
    <x:xf numFmtId="164" fontId="15" fillId="5" borderId="0" xfId="0" applyNumberFormat="1" applyFont="1" applyFill="1" applyBorder="1" applyAlignment="1">
      <x:alignment horizontal="general" vertical="center" wrapText="1"/>
    </x:xf>
    <x:xf numFmtId="164" fontId="14" fillId="0" borderId="2" xfId="0" applyNumberFormat="1" applyFont="1" applyFill="1" applyBorder="1" applyAlignment="1">
      <x:alignment horizontal="general" vertical="center" wrapText="1"/>
    </x:xf>
    <x:xf numFmtId="164" fontId="14" fillId="7" borderId="2" xfId="0" applyNumberFormat="1" applyFont="1" applyFill="1" applyBorder="1" applyAlignment="1">
      <x:alignment horizontal="general" vertical="center" wrapText="1"/>
    </x:xf>
    <x:xf numFmtId="165" fontId="14" fillId="7" borderId="2" xfId="0" applyNumberFormat="1" applyFont="1" applyFill="1" applyBorder="1" applyAlignment="1">
      <x:alignment horizontal="general" vertical="center" wrapText="1"/>
    </x:xf>
    <x:xf numFmtId="165" fontId="14" fillId="0" borderId="2" xfId="0" applyNumberFormat="1" applyFont="1" applyFill="1" applyBorder="1" applyAlignment="1">
      <x:alignment horizontal="general" vertical="center" wrapText="1"/>
    </x:xf>
    <x:xf numFmtId="165" fontId="14" fillId="0" borderId="0" xfId="0" applyNumberFormat="1" applyFont="1" applyFill="1" applyBorder="1" applyAlignment="1">
      <x:alignment horizontal="general" vertical="center" wrapText="1"/>
    </x:xf>
    <x:xf numFmtId="166" fontId="14" fillId="7" borderId="2" xfId="0" applyNumberFormat="1" applyFont="1" applyFill="1" applyBorder="1" applyAlignment="1">
      <x:alignment horizontal="general" vertical="center" wrapText="1"/>
    </x:xf>
    <x:xf numFmtId="166" fontId="14" fillId="0" borderId="2" xfId="0" applyNumberFormat="1" applyFont="1" applyFill="1" applyBorder="1" applyAlignment="1">
      <x:alignment horizontal="general" vertical="center" wrapText="1"/>
    </x:xf>
    <x:xf numFmtId="166" fontId="14" fillId="0" borderId="0" xfId="0" applyNumberFormat="1" applyFont="1" applyFill="1" applyBorder="1" applyAlignment="1">
      <x:alignment horizontal="general" vertical="center" wrapText="1"/>
    </x:xf>
    <x:xf numFmtId="164" fontId="14" fillId="8" borderId="0" xfId="0" applyNumberFormat="1" applyFont="1" applyFill="1" applyBorder="1" applyAlignment="1">
      <x:alignment horizontal="general" vertical="center" wrapText="1"/>
    </x:xf>
    <x:xf numFmtId="164" fontId="16" fillId="8" borderId="0" xfId="0" applyNumberFormat="1" applyFont="1" applyFill="1" applyBorder="1" applyAlignment="1">
      <x:alignment horizontal="general" vertical="center" wrapText="1"/>
    </x:xf>
    <x:xf numFmtId="200" fontId="14" fillId="7" borderId="2" xfId="0" applyNumberFormat="1" applyFont="1" applyFill="1" applyBorder="1" applyAlignment="1">
      <x:alignment horizontal="general" vertical="center" wrapText="1"/>
    </x:xf>
    <x:xf numFmtId="200" fontId="14" fillId="0" borderId="2" xfId="0" applyNumberFormat="1" applyFont="1" applyFill="1" applyBorder="1" applyAlignment="1">
      <x:alignment horizontal="general" vertical="center" wrapText="1"/>
    </x:xf>
    <x:xf numFmtId="169" fontId="14" fillId="7" borderId="2" xfId="0" applyNumberFormat="1" applyFont="1" applyFill="1" applyBorder="1" applyAlignment="1">
      <x:alignment horizontal="general" vertical="center" wrapText="1"/>
    </x:xf>
    <x:xf numFmtId="169" fontId="14" fillId="0" borderId="2" xfId="0" applyNumberFormat="1" applyFont="1" applyFill="1" applyBorder="1" applyAlignment="1">
      <x:alignment horizontal="general" vertical="center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6" fillId="6" borderId="0" xfId="0" applyNumberFormat="1" applyFont="1" applyFill="1" applyBorder="1" applyAlignment="1">
      <x:alignment horizontal="general" vertical="bottom" wrapText="0"/>
    </x:xf>
    <x:xf numFmtId="164" fontId="16" fillId="6" borderId="0" xfId="0" applyNumberFormat="1" applyFont="1" applyFill="1" applyBorder="1" applyAlignment="1">
      <x:alignment horizontal="general" vertical="bottom" wrapText="1"/>
    </x:xf>
    <x:xf numFmtId="201" fontId="14" fillId="7" borderId="2" xfId="0" applyNumberFormat="1" applyFont="1" applyFill="1" applyBorder="1" applyAlignment="1">
      <x:alignment horizontal="general" vertical="center" wrapText="1"/>
    </x:xf>
    <x:xf numFmtId="201" fontId="14" fillId="0" borderId="2" xfId="0" applyNumberFormat="1" applyFont="1" applyFill="1" applyBorder="1" applyAlignment="1">
      <x:alignment horizontal="general" vertical="center" wrapText="1"/>
    </x:xf>
    <x:xf numFmtId="169" fontId="14" fillId="0" borderId="0" xfId="0" applyNumberFormat="1" applyFont="1" applyFill="1" applyBorder="1" applyAlignment="1">
      <x:alignment horizontal="general" vertical="center" wrapText="1"/>
    </x:xf>
    <x:xf numFmtId="201" fontId="14" fillId="0" borderId="0" xfId="0" applyNumberFormat="1" applyFont="1" applyFill="1" applyBorder="1" applyAlignment="1">
      <x:alignment horizontal="general" vertical="center" wrapText="1"/>
    </x:xf>
    <x:xf numFmtId="164" fontId="14" fillId="9" borderId="0" xfId="0" applyNumberFormat="1" applyFont="1" applyFill="1" applyBorder="1" applyAlignment="1">
      <x:alignment horizontal="general" vertical="center" wrapText="1"/>
    </x:xf>
    <x:xf numFmtId="164" fontId="16" fillId="9" borderId="0" xfId="0" applyNumberFormat="1" applyFont="1" applyFill="1" applyBorder="1" applyAlignment="1">
      <x:alignment horizontal="general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b/>
        <x:color rgb="FFB23A2B"/>
      </x:font>
    </x:dxf>
    <x:dxf>
      <x:font>
        <x:b/>
        <x:color rgb="FF2A7F62"/>
      </x:font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7C9CE"/>
      <x:rgbColor rgb="FF808080"/>
      <x:rgbColor rgb="FF9999FF"/>
      <x:rgbColor rgb="FF993366"/>
      <x:rgbColor rgb="FFFDF1DC"/>
      <x:rgbColor rgb="FFE6EFF1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55555"/>
      <x:rgbColor rgb="FF969696"/>
      <x:rgbColor rgb="FF0B3C49"/>
      <x:rgbColor rgb="FF2A7F62"/>
      <x:rgbColor rgb="FF003300"/>
      <x:rgbColor rgb="FF333300"/>
      <x:rgbColor rgb="FFB23A2B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330c20a5246e9" /><Relationship Type="http://schemas.openxmlformats.org/officeDocument/2006/relationships/theme" Target="/xl/theme/theme1.xml" Id="Rc0a2ac1da0194ce5" /><Relationship Type="http://schemas.openxmlformats.org/officeDocument/2006/relationships/sharedStrings" Target="/xl/sharedStrings.xml" Id="R5f17adf6acba48fa" /><Relationship Type="http://schemas.openxmlformats.org/officeDocument/2006/relationships/worksheet" Target="/xl/worksheets/sheet1.xml" Id="Rae3744144b51495d" /><Relationship Type="http://schemas.openxmlformats.org/officeDocument/2006/relationships/worksheet" Target="/xl/worksheets/sheet2.xml" Id="R1f34a6d7c3024b74" /><Relationship Type="http://schemas.openxmlformats.org/officeDocument/2006/relationships/worksheet" Target="/xl/worksheets/sheet3.xml" Id="R2e89f34deb70436f" /><Relationship Type="http://schemas.openxmlformats.org/officeDocument/2006/relationships/worksheet" Target="/xl/worksheets/sheet4.xml" Id="Rcdbc17c4d9224ed8" /><Relationship Type="http://schemas.openxmlformats.org/officeDocument/2006/relationships/worksheet" Target="/xl/worksheets/sheet5.xml" Id="R71ef29d7edc94d42" /><Relationship Type="http://schemas.openxmlformats.org/officeDocument/2006/relationships/worksheet" Target="/xl/worksheets/sheet6.xml" Id="Rb564495169ca42d7" /><Relationship Type="http://schemas.openxmlformats.org/officeDocument/2006/relationships/worksheet" Target="/xl/worksheets/sheet7.xml" Id="R88bb9d122fe44cbd" /><Relationship Type="http://schemas.openxmlformats.org/officeDocument/2006/relationships/worksheet" Target="/xl/worksheets/sheet8.xml" Id="R560898e683094a64" /><Relationship Type="http://schemas.openxmlformats.org/officeDocument/2006/relationships/worksheet" Target="/xl/worksheets/sheet9.xml" Id="Rfe087daa45fd444d" /><Relationship Type="http://schemas.openxmlformats.org/officeDocument/2006/relationships/worksheet" Target="/xl/worksheets/sheet10.xml" Id="Ra9d70b5cb86d4a0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19" hidden="0" customWidth="1"/>
    <x:col min="3" max="3" width="34" hidden="0" customWidth="1"/>
    <x:col min="4" max="4" width="64" hidden="0" customWidth="1"/>
    <x:col min="5" max="5" width="7" hidden="0" customWidth="1"/>
    <x:col min="6" max="6" width="12" hidden="0" customWidth="1"/>
    <x:col min="7" max="7" width="10" hidden="0" customWidth="1"/>
    <x:col min="8" max="8" width="13" hidden="0" customWidth="1"/>
    <x:col min="9" max="9" width="10" hidden="0" customWidth="1"/>
    <x:col min="10" max="10" width="46" hidden="0" customWidth="1"/>
    <x:col min="11" max="11" width="44" hidden="0" customWidth="1"/>
  </x:cols>
  <x:sheetData>
    <x:row r="1" ht="34" hidden="0" customHeight="1">
      <x:c r="A1" s="31" t="s">
        <x:v>0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66" hidden="0" customHeight="1">
      <x:c r="A2" s="33" t="str">
        <x:v>Impacto 1–5 e peso por efeito sobre demanda, decisão e entrega. Prioridade = impacto × peso. Julgamentos do grupo, sem representar probabilidades. Evidências E e Q: registro abaixo.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4" ht="36" hidden="0" customHeight="1">
      <x:c r="A4" s="38" t="str">
        <x:v>Cód.</x:v>
      </x:c>
      <x:c r="B4" s="38" t="str">
        <x:v>Dimensão</x:v>
      </x:c>
      <x:c r="C4" s="38" t="str">
        <x:v>Fator</x:v>
      </x:c>
      <x:c r="D4" s="38" t="str">
        <x:v>Evidência</x:v>
      </x:c>
      <x:c r="E4" s="38" t="str">
        <x:v>O/A</x:v>
      </x:c>
      <x:c r="F4" s="38" t="str">
        <x:v>Impacto</x:v>
      </x:c>
      <x:c r="G4" s="38" t="str">
        <x:v>Peso</x:v>
      </x:c>
      <x:c r="H4" s="38" t="str">
        <x:v>Prioridade</x:v>
      </x:c>
      <x:c r="I4" s="38" t="str">
        <x:v>Ranking</x:v>
      </x:c>
      <x:c r="J4" s="38" t="str">
        <x:v>Implicação para Marketing</x:v>
      </x:c>
      <x:c r="K4" s="38" t="str">
        <x:v>Recomendação</x:v>
      </x:c>
    </x:row>
    <x:row r="5" ht="104" hidden="0" customHeight="1">
      <x:c r="A5" s="40" t="str">
        <x:v>P1</x:v>
      </x:c>
      <x:c r="B5" s="40" t="str">
        <x:v>Social/Tecnológico</x:v>
      </x:c>
      <x:c r="C5" s="40" t="str">
        <x:v>Uso corporativo de IA e risco residual de Shadow AI</x:v>
      </x:c>
      <x:c r="D5" s="40" t="str">
        <x:v>E02: na base brasileira Netskope, uso pessoal caiu de 81% para 52% e gerenciado subiu de 29% para 70%; Q06 relata uso não autorizado.</x:v>
      </x:c>
      <x:c r="E5" s="40" t="str">
        <x:v>O</x:v>
      </x:c>
      <x:c r="F5" s="40" t="n">
        <x:v>5</x:v>
      </x:c>
      <x:c r="G5" s="41" t="n">
        <x:v>0.16</x:v>
      </x:c>
      <x:c r="H5" s="44" t="n">
        <x:f aca="0">F5*G5</x:f>
        <x:v>0.8</x:v>
      </x:c>
      <x:c r="I5" s="40" t="n">
        <x:f aca="0">RANK(H5,$H$5:$H$14,0)</x:f>
        <x:v>1</x:v>
      </x:c>
      <x:c r="J5" s="40" t="str">
        <x:v>Validar dor, orçamento e controles dos clientes; oferta ainda a delimitar.</x:v>
      </x:c>
      <x:c r="K5" s="40" t="str">
        <x:v>Delimitar oferta de governança de IA para saúde.</x:v>
      </x:c>
    </x:row>
    <x:row r="6" ht="104" hidden="0" customHeight="1">
      <x:c r="A6" s="39" t="str">
        <x:v>P2</x:v>
      </x:c>
      <x:c r="B6" s="39" t="str">
        <x:v>Legal</x:v>
      </x:c>
      <x:c r="C6" s="39" t="str">
        <x:v>Governança e regulação de dados e IA</x:v>
      </x:c>
      <x:c r="D6" s="39" t="str">
        <x:v>E06–E08: LGPD vigente e PL 2338 em tramitação; E03 projeta US$ 492 mi globais em plataformas em 2026.</x:v>
      </x:c>
      <x:c r="E6" s="39" t="str">
        <x:v>O</x:v>
      </x:c>
      <x:c r="F6" s="39" t="n">
        <x:v>4</x:v>
      </x:c>
      <x:c r="G6" s="42" t="n">
        <x:v>0.12</x:v>
      </x:c>
      <x:c r="H6" s="45" t="n">
        <x:f aca="0">F6*G6</x:f>
        <x:v>0.48</x:v>
      </x:c>
      <x:c r="I6" s="39" t="n">
        <x:f aca="0">RANK(H6,$H$5:$H$14,0)</x:f>
        <x:v>3</x:v>
      </x:c>
      <x:c r="J6" s="39" t="str">
        <x:v>Articular TI e jurídico; não prometer conformidade jurídica.</x:v>
      </x:c>
      <x:c r="K6" s="39" t="str">
        <x:v>Comunicar redução de risco operacional.</x:v>
      </x:c>
    </x:row>
    <x:row r="7" ht="104" hidden="0" customHeight="1">
      <x:c r="A7" s="40" t="str">
        <x:v>P3</x:v>
      </x:c>
      <x:c r="B7" s="40" t="str">
        <x:v>Econômico</x:v>
      </x:c>
      <x:c r="C7" s="40" t="str">
        <x:v>Crescimento de TI mais seletivo e prova de retorno</x:v>
      </x:c>
      <x:c r="D7" s="40" t="str">
        <x:v>E01: US$ 58,6 bi (2024), US$ 67,8 bi (2025); taxa divulgada 18,5%, mas variação aritmética 15,7%; projeção 2026 +5,3%. Q03: ROI exige premissas.</x:v>
      </x:c>
      <x:c r="E7" s="40" t="str">
        <x:v>A</x:v>
      </x:c>
      <x:c r="F7" s="40" t="n">
        <x:v>5</x:v>
      </x:c>
      <x:c r="G7" s="41" t="n">
        <x:v>0.14</x:v>
      </x:c>
      <x:c r="H7" s="44" t="n">
        <x:f aca="0">F7*G7</x:f>
        <x:v>0.7000000000000001</x:v>
      </x:c>
      <x:c r="I7" s="40" t="n">
        <x:f aca="0">RANK(H7,$H$5:$H$14,0)</x:f>
        <x:v>2</x:v>
      </x:c>
      <x:c r="J7" s="40" t="str">
        <x:v>Padronizar prova de valor, sem converter horas liberadas automaticamente em economia.</x:v>
      </x:c>
      <x:c r="K7" s="40" t="str">
        <x:v>Método de prova de valor e ROI.</x:v>
      </x:c>
    </x:row>
    <x:row r="8" ht="104" hidden="0" customHeight="1">
      <x:c r="A8" s="39" t="str">
        <x:v>P4</x:v>
      </x:c>
      <x:c r="B8" s="39" t="str">
        <x:v>Econômico</x:v>
      </x:c>
      <x:c r="C8" s="39" t="str">
        <x:v>Investimento bancário em dados e cloud</x:v>
      </x:c>
      <x:c r="D8" s="39" t="str">
        <x:v>E04: bancos preveem R$ 50 bi em TI, incluindo R$ 3 bi em IA/dados e R$ 3,9 bi em cloud em 2026.</x:v>
      </x:c>
      <x:c r="E8" s="39" t="str">
        <x:v>O</x:v>
      </x:c>
      <x:c r="F8" s="39" t="n">
        <x:v>4</x:v>
      </x:c>
      <x:c r="G8" s="42" t="n">
        <x:v>0.1</x:v>
      </x:c>
      <x:c r="H8" s="45" t="n">
        <x:f aca="0">F8*G8</x:f>
        <x:v>0.4</x:v>
      </x:c>
      <x:c r="I8" s="39" t="n">
        <x:f aca="0">RANK(H8,$H$5:$H$14,0)</x:f>
        <x:v>5</x:v>
      </x:c>
      <x:c r="J8" s="39" t="str">
        <x:v>Explorar financeiro somente após validar requisitos e referências em seguros (Q07).</x:v>
      </x:c>
      <x:c r="K8" s="39" t="str">
        <x:v>Validar oportunidade em seguros antes da expansão.</x:v>
      </x:c>
    </x:row>
    <x:row r="9" ht="104" hidden="0" customHeight="1">
      <x:c r="A9" s="40" t="str">
        <x:v>P5</x:v>
      </x:c>
      <x:c r="B9" s="40" t="str">
        <x:v>Político/Tecnológico</x:v>
      </x:c>
      <x:c r="C9" s="40" t="str">
        <x:v>Política de desenvolvimento de IA e infraestrutura de dados</x:v>
      </x:c>
      <x:c r="D9" s="40" t="str">
        <x:v>E11: PBIA prevê R$ 23 bi até 2028. E01 destaca integração da IA às operações.</x:v>
      </x:c>
      <x:c r="E9" s="40" t="str">
        <x:v>O</x:v>
      </x:c>
      <x:c r="F9" s="40" t="n">
        <x:v>4</x:v>
      </x:c>
      <x:c r="G9" s="41" t="n">
        <x:v>0.1</x:v>
      </x:c>
      <x:c r="H9" s="44" t="n">
        <x:f aca="0">F9*G9</x:f>
        <x:v>0.4</x:v>
      </x:c>
      <x:c r="I9" s="40" t="n">
        <x:f aca="0">RANK(H9,$H$5:$H$14,0)</x:f>
        <x:v>5</x:v>
      </x:c>
      <x:c r="J9" s="40" t="str">
        <x:v>Conectar IA à engenharia e governança; avaliar oportunidades aderentes.</x:v>
      </x:c>
      <x:c r="K9" s="40" t="str">
        <x:v>Comunicar IA apoiada em dados governados.</x:v>
      </x:c>
    </x:row>
    <x:row r="10" ht="104" hidden="0" customHeight="1">
      <x:c r="A10" s="39" t="str">
        <x:v>P6</x:v>
      </x:c>
      <x:c r="B10" s="39" t="str">
        <x:v>Tecnológico</x:v>
      </x:c>
      <x:c r="C10" s="39" t="str">
        <x:v>Commoditização e atualização tecnológica</x:v>
      </x:c>
      <x:c r="D10" s="39" t="str">
        <x:v>Q06: IA disponível nas plataformas; QSOFT usa stack do cliente. E02: uso direto e embarcado coexistem.</x:v>
      </x:c>
      <x:c r="E10" s="39" t="str">
        <x:v>A</x:v>
      </x:c>
      <x:c r="F10" s="39" t="n">
        <x:v>3</x:v>
      </x:c>
      <x:c r="G10" s="42" t="n">
        <x:v>0.08</x:v>
      </x:c>
      <x:c r="H10" s="45" t="n">
        <x:f aca="0">F10*G10</x:f>
        <x:v>0.24</x:v>
      </x:c>
      <x:c r="I10" s="39" t="n">
        <x:f aca="0">RANK(H10,$H$5:$H$14,0)</x:f>
        <x:v>7</x:v>
      </x:c>
      <x:c r="J10" s="39" t="str">
        <x:v>Diferenciar aplicação e resultado; plataformas não são tecnicamente idênticas.</x:v>
      </x:c>
      <x:c r="K10" s="39" t="str">
        <x:v>Comunicar método e resultados.</x:v>
      </x:c>
    </x:row>
    <x:row r="11" ht="104" hidden="0" customHeight="1">
      <x:c r="A11" s="40" t="str">
        <x:v>P7</x:v>
      </x:c>
      <x:c r="B11" s="40" t="str">
        <x:v>Sociocultural</x:v>
      </x:c>
      <x:c r="C11" s="40" t="str">
        <x:v>Disputa por talentos especializados</x:v>
      </x:c>
      <x:c r="D11" s="40" t="str">
        <x:v>E05: descasamento histórico de 30,2% (2018–2023); Q02: folha 60–70%, formação interna e disputa de agenda.</x:v>
      </x:c>
      <x:c r="E11" s="40" t="str">
        <x:v>A</x:v>
      </x:c>
      <x:c r="F11" s="40" t="n">
        <x:v>4</x:v>
      </x:c>
      <x:c r="G11" s="41" t="n">
        <x:v>0.12</x:v>
      </x:c>
      <x:c r="H11" s="44" t="n">
        <x:f aca="0">F11*G11</x:f>
        <x:v>0.48</x:v>
      </x:c>
      <x:c r="I11" s="40" t="n">
        <x:f aca="0">RANK(H11,$H$5:$H$14,0)</x:f>
        <x:v>3</x:v>
      </x:c>
      <x:c r="J11" s="40" t="str">
        <x:v>Alinhar crescimento comercial à disponibilidade; desenvolver talentos.</x:v>
      </x:c>
      <x:c r="K11" s="40" t="str">
        <x:v>Formação, retenção e marca empregadora.</x:v>
      </x:c>
    </x:row>
    <x:row r="12" ht="104" hidden="0" customHeight="1">
      <x:c r="A12" s="39" t="str">
        <x:v>P8</x:v>
      </x:c>
      <x:c r="B12" s="39" t="str">
        <x:v>Sociocultural</x:v>
      </x:c>
      <x:c r="C12" s="39" t="str">
        <x:v>Necessidade de capacitação em dados e IA</x:v>
      </x:c>
      <x:c r="D12" s="39" t="str">
        <x:v>Q06 relata uso inadequado de IA; Q04 estima conversão de treinamento. E04: R$ 29,4 mi previstos em capacitação IA (+31%).</x:v>
      </x:c>
      <x:c r="E12" s="39" t="str">
        <x:v>O</x:v>
      </x:c>
      <x:c r="F12" s="39" t="n">
        <x:v>3</x:v>
      </x:c>
      <x:c r="G12" s="42" t="n">
        <x:v>0.08</x:v>
      </x:c>
      <x:c r="H12" s="45" t="n">
        <x:f aca="0">F12*G12</x:f>
        <x:v>0.24</x:v>
      </x:c>
      <x:c r="I12" s="39" t="n">
        <x:f aca="0">RANK(H12,$H$5:$H$14,0)</x:f>
        <x:v>7</x:v>
      </x:c>
      <x:c r="J12" s="39" t="str">
        <x:v>Validar conversão e capacidade; integrar literacia à proposta.</x:v>
      </x:c>
      <x:c r="K12" s="39" t="str">
        <x:v>Trilhas corporativas e mensuração de conversão.</x:v>
      </x:c>
    </x:row>
    <x:row r="13" ht="104" hidden="0" customHeight="1">
      <x:c r="A13" s="40" t="str">
        <x:v>P9</x:v>
      </x:c>
      <x:c r="B13" s="40" t="str">
        <x:v>Político/Legal</x:v>
      </x:c>
      <x:c r="C13" s="40" t="str">
        <x:v>Transição tributária do consumo</x:v>
      </x:c>
      <x:c r="D13" s="40" t="str">
        <x:v>E09: testes em 2026, CBS em 2027, transição IBS 2029–2033; Q02: predominância de folha.</x:v>
      </x:c>
      <x:c r="E13" s="40" t="str">
        <x:v>A</x:v>
      </x:c>
      <x:c r="F13" s="40" t="n">
        <x:v>3</x:v>
      </x:c>
      <x:c r="G13" s="41" t="n">
        <x:v>0.06</x:v>
      </x:c>
      <x:c r="H13" s="44" t="n">
        <x:f aca="0">F13*G13</x:f>
        <x:v>0.18</x:v>
      </x:c>
      <x:c r="I13" s="40" t="n">
        <x:f aca="0">RANK(H13,$H$5:$H$14,0)</x:f>
        <x:v>9</x:v>
      </x:c>
      <x:c r="J13" s="40" t="str">
        <x:v>Simular efeito contábil; reforçar valor e revisar condições contratuais.</x:v>
      </x:c>
      <x:c r="K13" s="40" t="str">
        <x:v>Simulação tributária e valor percebido.</x:v>
      </x:c>
    </x:row>
    <x:row r="14" ht="104" hidden="0" customHeight="1">
      <x:c r="A14" s="39" t="str">
        <x:v>P10</x:v>
      </x:c>
      <x:c r="B14" s="39" t="str">
        <x:v>Ambiental</x:v>
      </x:c>
      <x:c r="C14" s="39" t="str">
        <x:v>Energia e eficiência da infraestrutura digital</x:v>
      </x:c>
      <x:c r="D14" s="39" t="str">
        <x:v>E10 acompanha expansão das cargas de data centers. Não há evidência de exigência ambiental na compra dos clientes QSOFT.</x:v>
      </x:c>
      <x:c r="E14" s="39" t="str">
        <x:v>O</x:v>
      </x:c>
      <x:c r="F14" s="39" t="n">
        <x:v>2</x:v>
      </x:c>
      <x:c r="G14" s="42" t="n">
        <x:v>0.04</x:v>
      </x:c>
      <x:c r="H14" s="45" t="n">
        <x:f aca="0">F14*G14</x:f>
        <x:v>0.08</x:v>
      </x:c>
      <x:c r="I14" s="39" t="n">
        <x:f aca="0">RANK(H14,$H$5:$H$14,0)</x:f>
        <x:v>10</x:v>
      </x:c>
      <x:c r="J14" s="39" t="str">
        <x:v>Validar requisitos ambientais; não equiparar economia financeira a redução de emissões.</x:v>
      </x:c>
      <x:c r="K14" s="39" t="str">
        <x:v>Validar eficiência como benefício complementar.</x:v>
      </x:c>
    </x:row>
    <x:row r="15" ht="26" hidden="0" customHeight="1">
      <x:c r="A15" s="36"/>
      <x:c r="B15" s="36"/>
      <x:c r="C15" s="36" t="str">
        <x:v>TOTAL</x:v>
      </x:c>
      <x:c r="D15" s="36"/>
      <x:c r="E15" s="36"/>
      <x:c r="F15" s="36"/>
      <x:c r="G15" s="43" t="n">
        <x:f aca="0">SUM(G5:G14)</x:f>
        <x:v>1</x:v>
      </x:c>
      <x:c r="H15" s="46" t="n">
        <x:f aca="0">SUM(H5:H14)</x:f>
        <x:v>3.9999999999999996</x:v>
      </x:c>
      <x:c r="I15" s="36"/>
      <x:c r="J15" s="36"/>
      <x:c r="K15" s="36"/>
    </x:row>
    <x:row r="16" ht="26" hidden="0" customHeight="1">
      <x:c r="A16" s="36"/>
      <x:c r="B16" s="36"/>
      <x:c r="C16" s="36" t="str">
        <x:v>Oportunidades</x:v>
      </x:c>
      <x:c r="D16" s="36"/>
      <x:c r="E16" s="36"/>
      <x:c r="F16" s="36"/>
      <x:c r="G16" s="36"/>
      <x:c r="H16" s="46" t="n">
        <x:f aca="0">SUMIF(E5:E14,"O",H5:H14)</x:f>
        <x:v>2.4000000000000004</x:v>
      </x:c>
      <x:c r="I16" s="36"/>
      <x:c r="J16" s="36"/>
      <x:c r="K16" s="36"/>
    </x:row>
    <x:row r="17" ht="26" hidden="0" customHeight="1">
      <x:c r="A17" s="36"/>
      <x:c r="B17" s="36"/>
      <x:c r="C17" s="36" t="str">
        <x:v>Ameaças</x:v>
      </x:c>
      <x:c r="D17" s="36"/>
      <x:c r="E17" s="36"/>
      <x:c r="F17" s="36"/>
      <x:c r="G17" s="36"/>
      <x:c r="H17" s="46" t="n">
        <x:f aca="0">SUMIF(E5:E14,"A",H5:H14)</x:f>
        <x:v>1.5999999999999999</x:v>
      </x:c>
      <x:c r="I17" s="36"/>
      <x:c r="J17" s="36"/>
      <x:c r="K17" s="36"/>
    </x:row>
    <x:row r="18" ht="26" hidden="0" customHeight="1">
      <x:c r="A18" s="36"/>
      <x:c r="B18" s="36"/>
      <x:c r="C18" s="36" t="str">
        <x:v>Pesos = 100%</x:v>
      </x:c>
      <x:c r="D18" s="36"/>
      <x:c r="E18" s="36"/>
      <x:c r="F18" s="36"/>
      <x:c r="G18" s="36"/>
      <x:c r="H18" s="36" t="str">
        <x:f aca="0">IF(ROUND(G15,6)=1,"OK","ERRO")</x:f>
        <x:v>OK</x:v>
      </x:c>
      <x:c r="I18" s="36"/>
      <x:c r="J18" s="36"/>
      <x:c r="K18" s="36"/>
    </x:row>
    <x:row r="19" ht="70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</x:row>
    <x:row r="20" ht="78" customHeight="1">
      <x:c r="A20" s="48" t="str">
        <x:v>Ponderação. P1 (16%) e P3 (14%) recebem maior peso pela ligação direta com demanda e aprovação da compra. P2/P7 (12% cada) afetam risco e entrega. P4/P5 (10%) indicam expansão condicionada; P6/P8 (8%) mudam diferenciação e adoção; P9 (6%) exige simulação; P10 (4%) tem efeito indireto ainda não comprovado na compra. Impacto 1=marginal, 2=indireto, 3=moderado, 4=alto, 5=decisivo. As notas 5 de P1/P3 decorrem de sua relação com problema e decisão comercial relatados, não de demanda medida.</x:v>
      </x:c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</x:row>
    <x:row r="21" ht="45" customHeight="1">
      <x:c r="A21" s="48" t="str">
        <x:v>Dez fatores foram selecionados por aderência ao negócio, magnitude e horizonte de 1–3 anos. A análise contempla todas as dimensões PESTEL. Fatores como Selic não foram priorizados separadamente neste recorte, o que não significa neutralidade: seus efeitos sobre orçamento e retorno podem aparecer em P3.</x:v>
      </x:c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</x:row>
    <x:row r="22" ht="34" customHeight="1">
      <x:c r="A22" s="48" t="str">
        <x:v>Escalas são ordinais. P10 tem demanda indireta ainda não demonstrada. Fontes repetidas em outras ferramentas não são observações independentes.</x:v>
      </x:c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</x:row>
    <x:row r="23" ht="7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 ht="36" customHeight="1">
      <x:c r="A24" s="38" t="str">
        <x:v>Código</x:v>
      </x:c>
      <x:c r="B24" s="38" t="str">
        <x:v>Instituição</x:v>
      </x:c>
      <x:c r="C24" s="38"/>
      <x:c r="D24" s="38" t="str">
        <x:v>Título</x:v>
      </x:c>
      <x:c r="E24" s="38" t="str">
        <x:v>Data</x:v>
      </x:c>
      <x:c r="F24" s="38"/>
      <x:c r="G24" s="38"/>
      <x:c r="H24" s="38" t="str">
        <x:v>Localização da evidência</x:v>
      </x:c>
      <x:c r="I24" s="38"/>
      <x:c r="J24" s="38"/>
      <x:c r="K24" s="38" t="str">
        <x:v>URL</x:v>
      </x:c>
    </x:row>
    <x:row r="25" ht="90" customHeight="1">
      <x:c r="A25" s="40" t="str">
        <x:v>E01</x:v>
      </x:c>
      <x:c r="B25" s="40" t="str">
        <x:v>ABES</x:v>
      </x:c>
      <x:c r="C25" s="40"/>
      <x:c r="D25" s="40" t="str">
        <x:v>Mercado de TI no Brasil cresce 18,5% em 2025</x:v>
      </x:c>
      <x:c r="E25" s="40" t="str">
        <x:v>03/04/2026</x:v>
      </x:c>
      <x:c r="F25" s="40"/>
      <x:c r="G25" s="36"/>
      <x:c r="H25" s="36" t="str">
        <x:v>Receitas, crescimento e maturidade. A notícia apresenta inconsistência entre taxa e valores em dólar.</x:v>
      </x:c>
      <x:c r="I25" s="36"/>
      <x:c r="J25" s="36"/>
      <x:c r="K25" s="36" t="str">
        <x:v>https://abes.org.br/mercado-de-ti-no-brasil-cresce-185-em-2025-e-pais-segue-lider-na-america-latina/</x:v>
      </x:c>
    </x:row>
    <x:row r="26" ht="90" customHeight="1">
      <x:c r="A26" s="39" t="str">
        <x:v>E02</x:v>
      </x:c>
      <x:c r="B26" s="39" t="str">
        <x:v>Netskope</x:v>
      </x:c>
      <x:c r="C26" s="39"/>
      <x:c r="D26" s="39" t="str">
        <x:v>Threat Labs Report Brazil 2026</x:v>
      </x:c>
      <x:c r="E26" s="39" t="str">
        <x:v>mar/2025–mar/2026</x:v>
      </x:c>
      <x:c r="F26" s="39"/>
      <x:c r="G26" s="36"/>
      <x:c r="H26" s="36" t="str">
        <x:v>GenAI Adoption and usage trends; App usage and data policy violation; About this report. Subconjunto de clientes Netskope no Brasil.</x:v>
      </x:c>
      <x:c r="I26" s="36"/>
      <x:c r="J26" s="36"/>
      <x:c r="K26" s="36" t="str">
        <x:v>https://www.netskope.com/resources/threat-labs-reports/threat-labs-report-brazil-2026</x:v>
      </x:c>
    </x:row>
    <x:row r="27" ht="90" customHeight="1">
      <x:c r="A27" s="40" t="str">
        <x:v>E03</x:v>
      </x:c>
      <x:c r="B27" s="40" t="str">
        <x:v>Gartner</x:v>
      </x:c>
      <x:c r="C27" s="40"/>
      <x:c r="D27" s="40" t="str">
        <x:v>Global AI Regulations Fuel Billion-Dollar Market for AI Governance Platforms</x:v>
      </x:c>
      <x:c r="E27" s="40" t="str">
        <x:v>17/02/2026</x:v>
      </x:c>
      <x:c r="F27" s="40"/>
      <x:c r="G27" s="36"/>
      <x:c r="H27" s="36" t="str">
        <x:v>Previsão global de gasto com plataformas, não tamanho do nicho brasileiro de consultoria.</x:v>
      </x:c>
      <x:c r="I27" s="36"/>
      <x:c r="J27" s="36"/>
      <x:c r="K27" s="36" t="str">
        <x:v>https://www.gartner.com/en/newsroom/press-releases/2026-02-17-gartner-global-ai-regulations-fuel-billion-dollar-market-for-ai-governance-platforms</x:v>
      </x:c>
    </x:row>
    <x:row r="28" ht="90" customHeight="1">
      <x:c r="A28" s="39" t="str">
        <x:v>E04</x:v>
      </x:c>
      <x:c r="B28" s="39" t="str">
        <x:v>Febraban</x:v>
      </x:c>
      <x:c r="C28" s="39"/>
      <x:c r="D28" s="39" t="str">
        <x:v>Bancos estimam investir R$ 3 bi em IA e soluções de dados neste ano</x:v>
      </x:c>
      <x:c r="E28" s="39" t="str">
        <x:v>25/08/2026</x:v>
      </x:c>
      <x:c r="F28" s="39"/>
      <x:c r="G28" s="36"/>
      <x:c r="H28" s="36" t="str">
        <x:v>Investimentos previstos dos bancos em 2026 e capacitação. Não representa orçamento de seguradoras.</x:v>
      </x:c>
      <x:c r="I28" s="36"/>
      <x:c r="J28" s="36"/>
      <x:c r="K28" s="36" t="str">
        <x:v>https://portal.febraban.org.br/noticia/4490/pt-br/</x:v>
      </x:c>
    </x:row>
    <x:row r="29" ht="90" customHeight="1">
      <x:c r="A29" s="40" t="str">
        <x:v>E05</x:v>
      </x:c>
      <x:c r="B29" s="40" t="str">
        <x:v>Brasscom</x:v>
      </x:c>
      <x:c r="C29" s="40"/>
      <x:c r="D29" s="40" t="str">
        <x:v>Macrossetor de TIC pode gerar até 147 mil empregos formais no Brasil em 2025</x:v>
      </x:c>
      <x:c r="E29" s="40" t="str">
        <x:v>fev/2025</x:v>
      </x:c>
      <x:c r="F29" s="40"/>
      <x:c r="G29" s="36"/>
      <x:c r="H29" s="36" t="str">
        <x:v>Descasamento de 30,2% entre demanda e oferta, 2018–2023. Evidência histórica; não déficit medido em 2026.</x:v>
      </x:c>
      <x:c r="I29" s="36"/>
      <x:c r="J29" s="36"/>
      <x:c r="K29" s="36" t="str">
        <x:v>https://brasscom.org.br/macrossetor-de-tic-pode-gerar-ate-147-mil-empregos-formais-no-brasil-em-2025-aponta-estudo/</x:v>
      </x:c>
    </x:row>
    <x:row r="30" ht="90" customHeight="1">
      <x:c r="A30" s="39" t="str">
        <x:v>E06</x:v>
      </x:c>
      <x:c r="B30" s="39" t="str">
        <x:v>Câmara dos Deputados</x:v>
      </x:c>
      <x:c r="C30" s="39"/>
      <x:c r="D30" s="39" t="str">
        <x:v>PL 2338/2023 Ficha de tramitação</x:v>
      </x:c>
      <x:c r="E30" s="39" t="str">
        <x:v>consulta 30/09/2026</x:v>
      </x:c>
      <x:c r="F30" s="39"/>
      <x:c r="G30" s="36"/>
      <x:c r="H30" s="36" t="str">
        <x:v>Campo Situação: aguardando parecer na comissão especial. Projeto, não lei vigente.</x:v>
      </x:c>
      <x:c r="I30" s="36"/>
      <x:c r="J30" s="36"/>
      <x:c r="K30" s="36" t="str">
        <x:v>https://www.camara.leg.br/proposicoesWeb/fichadetramitacao/?idProposicao=2487262</x:v>
      </x:c>
    </x:row>
    <x:row r="31" ht="90" customHeight="1">
      <x:c r="A31" s="40" t="str">
        <x:v>E07</x:v>
      </x:c>
      <x:c r="B31" s="40" t="str">
        <x:v>ANPD</x:v>
      </x:c>
      <x:c r="C31" s="40"/>
      <x:c r="D31" s="40" t="str">
        <x:v>Agenda Regulatória 2025–2026</x:v>
      </x:c>
      <x:c r="E31" s="40" t="str">
        <x:v>Resolução 23/2024; alterações posteriores</x:v>
      </x:c>
      <x:c r="F31" s="40"/>
      <x:c r="G31" s="36"/>
      <x:c r="H31" s="36" t="str">
        <x:v>Agenda de regulação; não comprova aprovação do marco de IA.</x:v>
      </x:c>
      <x:c r="I31" s="36"/>
      <x:c r="J31" s="36"/>
      <x:c r="K31" s="36" t="str">
        <x:v>https://www.gov.br/anpd/pt-br/assuntos/regulacao/agenda-regulatoria-1/agenda-regulatoria-2025-2026</x:v>
      </x:c>
    </x:row>
    <x:row r="32" ht="90" customHeight="1">
      <x:c r="A32" s="39" t="str">
        <x:v>E08</x:v>
      </x:c>
      <x:c r="B32" s="39" t="str">
        <x:v>Brasil</x:v>
      </x:c>
      <x:c r="C32" s="39"/>
      <x:c r="D32" s="39" t="str">
        <x:v>Lei 13.709/2018 LGPD</x:v>
      </x:c>
      <x:c r="E32" s="39" t="str">
        <x:v>texto compilado</x:v>
      </x:c>
      <x:c r="F32" s="39"/>
      <x:c r="G32" s="36"/>
      <x:c r="H32" s="36" t="str">
        <x:v>Tratamento de dados pessoais e dados sensíveis.</x:v>
      </x:c>
      <x:c r="I32" s="36"/>
      <x:c r="J32" s="36"/>
      <x:c r="K32" s="36" t="str">
        <x:v>https://www.planalto.gov.br/ccivil_03/_ato2015-2018/2018/lei/l13709compilado.htm</x:v>
      </x:c>
    </x:row>
    <x:row r="33" ht="90" customHeight="1">
      <x:c r="A33" s="40" t="str">
        <x:v>E09</x:v>
      </x:c>
      <x:c r="B33" s="40" t="str">
        <x:v>Câmara dos Deputados</x:v>
      </x:c>
      <x:c r="C33" s="40"/>
      <x:c r="D33" s="40" t="str">
        <x:v>Reforma tributária começa fase de transição com testes de novos impostos em 2026</x:v>
      </x:c>
      <x:c r="E33" s="40" t="str">
        <x:v>06/01/2026</x:v>
      </x:c>
      <x:c r="F33" s="40"/>
      <x:c r="G33" s="36"/>
      <x:c r="H33" s="36" t="str">
        <x:v>Cronograma geral; efeito tributário específico da QSOFT requer simulação contábil.</x:v>
      </x:c>
      <x:c r="I33" s="36"/>
      <x:c r="J33" s="36"/>
      <x:c r="K33" s="36" t="str">
        <x:v>https://www.camara.leg.br/noticias/1237089-reforma-tributaria-comeca-fase-de-transicao-com-testes-de-novos-impostos-em-2026/</x:v>
      </x:c>
    </x:row>
    <x:row r="34" ht="90" customHeight="1">
      <x:c r="A34" s="39" t="str">
        <x:v>E10</x:v>
      </x:c>
      <x:c r="B34" s="39" t="str">
        <x:v>EPE</x:v>
      </x:c>
      <x:c r="C34" s="39"/>
      <x:c r="D34" s="39" t="str">
        <x:v>Consumo de Data Centers</x:v>
      </x:c>
      <x:c r="E34" s="39" t="str">
        <x:v>consulta 30/09/2026</x:v>
      </x:c>
      <x:c r="F34" s="39"/>
      <x:c r="G34" s="36"/>
      <x:c r="H34" s="36" t="str">
        <x:v>Busca por conexão de grandes cargas; oportunidade ambiental indireta, a validar nos clientes.</x:v>
      </x:c>
      <x:c r="I34" s="36"/>
      <x:c r="J34" s="36"/>
      <x:c r="K34" s="36" t="str">
        <x:v>https://www.epe.gov.br/pt/areas-de-atuacao/energia-eletrica/consumo-de-energia-el%C3%A9trica/consumo-de-data-centers</x:v>
      </x:c>
    </x:row>
    <x:row r="35" ht="90" customHeight="1">
      <x:c r="A35" s="40" t="str">
        <x:v>E11</x:v>
      </x:c>
      <x:c r="B35" s="40" t="str">
        <x:v>MCTI</x:v>
      </x:c>
      <x:c r="C35" s="40"/>
      <x:c r="D35" s="40" t="str">
        <x:v>Ministra Luciana Santos reforça papel do PBIA em seminário do Conselhão</x:v>
      </x:c>
      <x:c r="E35" s="40" t="str">
        <x:v>jun/2025</x:v>
      </x:c>
      <x:c r="F35" s="40"/>
      <x:c r="G35" s="36"/>
      <x:c r="H35" s="36" t="str">
        <x:v>R$ 23 bilhões previstos até 2028. Plano de investimento, não gasto já executado nem receita disponível à QSOFT.</x:v>
      </x:c>
      <x:c r="I35" s="36"/>
      <x:c r="J35" s="36"/>
      <x:c r="K35" s="36" t="str">
        <x:v>https://www.gov.br/mcti/pt-br/acompanhe-o-mcti/noticias/2025/06/ministra-luciana-santos-reforca-papel-do-pbia-em-seminario-do-conselhao</x:v>
      </x:c>
    </x:row>
    <x:row r="36" ht="90" customHeight="1">
      <x:c r="A36" s="39" t="str">
        <x:v>E12</x:v>
      </x:c>
      <x:c r="B36" s="39" t="str">
        <x:v>QSOFT</x:v>
      </x:c>
      <x:c r="C36" s="39"/>
      <x:c r="D36" s="39" t="str">
        <x:v>Case Unimed</x:v>
      </x:c>
      <x:c r="E36" s="39" t="str">
        <x:v>consulta 30/09/2026</x:v>
      </x:c>
      <x:c r="F36" s="39"/>
      <x:c r="G36" s="36"/>
      <x:c r="H36" s="36" t="str">
        <x:v>Seções Frentes de atuação e Resultados; depoimento de Gabriel Ribeiro. Indicadores declarados pela empresa.</x:v>
      </x:c>
      <x:c r="I36" s="36"/>
      <x:c r="J36" s="36"/>
      <x:c r="K36" s="36" t="str">
        <x:v>https://www.qsoft.com.br/case-unimed/</x:v>
      </x:c>
    </x:row>
    <x:row r="37" ht="90" customHeight="1">
      <x:c r="A37" s="40" t="str">
        <x:v>E13</x:v>
      </x:c>
      <x:c r="B37" s="40" t="str">
        <x:v>QSOFT</x:v>
      </x:c>
      <x:c r="C37" s="40"/>
      <x:c r="D37" s="40" t="str">
        <x:v>Serviços, soluções e parceiros</x:v>
      </x:c>
      <x:c r="E37" s="40" t="str">
        <x:v>consulta 30/09/2026</x:v>
      </x:c>
      <x:c r="F37" s="40"/>
      <x:c r="G37" s="36"/>
      <x:c r="H37" s="36" t="str">
        <x:v>Menus Serviços, Soluções, Produtos e Parceiros. Declarações institucionais.</x:v>
      </x:c>
      <x:c r="I37" s="36"/>
      <x:c r="J37" s="36"/>
      <x:c r="K37" s="36" t="str">
        <x:v>https://www.qsoft.com.br/</x:v>
      </x:c>
    </x:row>
    <x:row r="38" ht="90" customHeight="1">
      <x:c r="A38" s="39" t="str">
        <x:v>E14</x:v>
      </x:c>
      <x:c r="B38" s="39" t="str">
        <x:v>RED Innovations</x:v>
      </x:c>
      <x:c r="C38" s="39"/>
      <x:c r="D38" s="39" t="str">
        <x:v>Data Analytics e cases</x:v>
      </x:c>
      <x:c r="E38" s="39" t="str">
        <x:v>consulta 30/09/2026</x:v>
      </x:c>
      <x:c r="F38" s="39"/>
      <x:c r="G38" s="36"/>
      <x:c r="H38" s="36" t="str">
        <x:v>Consultoria, treinamento, suporte e cases publicados.</x:v>
      </x:c>
      <x:c r="I38" s="36"/>
      <x:c r="J38" s="36"/>
      <x:c r="K38" s="36" t="str">
        <x:v>https://redinnovations.com.br/</x:v>
      </x:c>
    </x:row>
    <x:row r="39" ht="90" customHeight="1">
      <x:c r="A39" s="40" t="str">
        <x:v>E15</x:v>
      </x:c>
      <x:c r="B39" s="40" t="str">
        <x:v>Indicium AI</x:v>
      </x:c>
      <x:c r="C39" s="40"/>
      <x:c r="D39" s="40" t="str">
        <x:v>Strategy and Vision</x:v>
      </x:c>
      <x:c r="E39" s="40" t="str">
        <x:v>consulta 30/09/2026</x:v>
      </x:c>
      <x:c r="F39" s="40"/>
      <x:c r="G39" s="36"/>
      <x:c r="H39" s="36" t="str">
        <x:v>Governança, priorização, responsabilidades e tracking de ROI. Oferta declarada, não auditoria de execução.</x:v>
      </x:c>
      <x:c r="I39" s="36"/>
      <x:c r="J39" s="36"/>
      <x:c r="K39" s="36" t="str">
        <x:v>https://indicium.ai/data-ai-solutions/strategy-vision</x:v>
      </x:c>
    </x:row>
    <x:row r="40" ht="90" customHeight="1">
      <x:c r="A40" s="39" t="str">
        <x:v>E16</x:v>
      </x:c>
      <x:c r="B40" s="39" t="str">
        <x:v>Indicium AI</x:v>
      </x:c>
      <x:c r="C40" s="39"/>
      <x:c r="D40" s="39" t="str">
        <x:v>Copa Energia Credit Engine with Databricks</x:v>
      </x:c>
      <x:c r="E40" s="39" t="str">
        <x:v>09/09/2025</x:v>
      </x:c>
      <x:c r="F40" s="39"/>
      <x:c r="G40" s="36"/>
      <x:c r="H40" s="36" t="str">
        <x:v>Redução declarada de exposição ao risco de R$ 13,5 milhões/ano e automação. Não equivale a economia de caixa realizada.</x:v>
      </x:c>
      <x:c r="I40" s="36"/>
      <x:c r="J40" s="36"/>
      <x:c r="K40" s="36" t="str">
        <x:v>https://indicium.ai/content-hub/copa-energia-credit-engine-databricks</x:v>
      </x:c>
    </x:row>
    <x:row r="41" ht="90" customHeight="1">
      <x:c r="A41" s="40" t="str">
        <x:v>E17</x:v>
      </x:c>
      <x:c r="B41" s="40" t="str">
        <x:v>Indicium AI</x:v>
      </x:c>
      <x:c r="C41" s="40"/>
      <x:c r="D41" s="40" t="str">
        <x:v>AI in Data Migration Aura Minerals</x:v>
      </x:c>
      <x:c r="E41" s="40" t="str">
        <x:v>06/06/2025</x:v>
      </x:c>
      <x:c r="F41" s="40"/>
      <x:c r="G41" s="36"/>
      <x:c r="H41" s="36" t="str">
        <x:v>Pipeline de cerca de 45 para 6 horas; agente e controles de código.</x:v>
      </x:c>
      <x:c r="I41" s="36"/>
      <x:c r="J41" s="36"/>
      <x:c r="K41" s="36" t="str">
        <x:v>https://indicium.ai/content-hub/ai-data-migration-aura-minerals</x:v>
      </x:c>
    </x:row>
    <x:row r="42" ht="90" customHeight="1">
      <x:c r="A42" s="39" t="str">
        <x:v>E18</x:v>
      </x:c>
      <x:c r="B42" s="39" t="str">
        <x:v>Keyrus Brasil</x:v>
      </x:c>
      <x:c r="C42" s="39"/>
      <x:c r="D42" s="39" t="str">
        <x:v>Governança de dados</x:v>
      </x:c>
      <x:c r="E42" s="39" t="str">
        <x:v>consulta 30/09/2026</x:v>
      </x:c>
      <x:c r="F42" s="39"/>
      <x:c r="G42" s="36"/>
      <x:c r="H42" s="36" t="str">
        <x:v>Oferta de governança de dados no site brasileiro.</x:v>
      </x:c>
      <x:c r="I42" s="36"/>
      <x:c r="J42" s="36"/>
      <x:c r="K42" s="36" t="str">
        <x:v>https://keyrus.com/br/pt/services/data-governance</x:v>
      </x:c>
    </x:row>
    <x:row r="43" ht="90" customHeight="1">
      <x:c r="A43" s="40" t="str">
        <x:v>E19</x:v>
      </x:c>
      <x:c r="B43" s="40" t="str">
        <x:v>Keyrus Brasil</x:v>
      </x:c>
      <x:c r="C43" s="40"/>
      <x:c r="D43" s="40" t="str">
        <x:v>Governança em IA</x:v>
      </x:c>
      <x:c r="E43" s="40" t="str">
        <x:v>consulta 30/09/2026</x:v>
      </x:c>
      <x:c r="F43" s="40"/>
      <x:c r="G43" s="36"/>
      <x:c r="H43" s="36" t="str">
        <x:v>Seção O papel da Keyrus: riscos, monitoramento e responsabilidades.</x:v>
      </x:c>
      <x:c r="I43" s="36"/>
      <x:c r="J43" s="36"/>
      <x:c r="K43" s="36" t="str">
        <x:v>https://keyrus.com/br/pt/insights/governanca-em-ia</x:v>
      </x:c>
    </x:row>
    <x:row r="44" ht="90" customHeight="1">
      <x:c r="A44" s="39" t="str">
        <x:v>E20</x:v>
      </x:c>
      <x:c r="B44" s="39" t="str">
        <x:v>Keyrus Brasil</x:v>
      </x:c>
      <x:c r="C44" s="39"/>
      <x:c r="D44" s="39" t="str">
        <x:v>Resultados com Power Platform</x:v>
      </x:c>
      <x:c r="E44" s="39" t="str">
        <x:v>consulta 30/09/2026</x:v>
      </x:c>
      <x:c r="F44" s="39"/>
      <x:c r="G44" s="36"/>
      <x:c r="H44" s="36" t="str">
        <x:v>Frentes da estratégia à sustentação, capacitação e resultados. Cases sem identificação nominal: limitação.</x:v>
      </x:c>
      <x:c r="I44" s="36"/>
      <x:c r="J44" s="36"/>
      <x:c r="K44" s="36" t="str">
        <x:v>https://keyrus.com/br/pt/insights/como-gerar-resultados-concretos-com-o-power-platform-da-microsoft</x:v>
      </x:c>
    </x:row>
    <x:row r="45" ht="90" customHeight="1">
      <x:c r="A45" s="40" t="str">
        <x:v>E21</x:v>
      </x:c>
      <x:c r="B45" s="40" t="str">
        <x:v>Keyrus Brasil</x:v>
      </x:c>
      <x:c r="C45" s="40"/>
      <x:c r="D45" s="40" t="str">
        <x:v>Parceiros</x:v>
      </x:c>
      <x:c r="E45" s="40" t="str">
        <x:v>consulta 30/09/2026</x:v>
      </x:c>
      <x:c r="F45" s="40"/>
      <x:c r="G45" s="36"/>
      <x:c r="H45" s="36" t="str">
        <x:v>Alianças tecnológicas listadas; sem inferir quantidade de certificados no Brasil.</x:v>
      </x:c>
      <x:c r="I45" s="36"/>
      <x:c r="J45" s="36"/>
      <x:c r="K45" s="36" t="str">
        <x:v>https://keyrus.com/br/pt/partners</x:v>
      </x:c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</x:row>
    <x:row r="48" ht="36" customHeight="1">
      <x:c r="A48" s="38" t="str">
        <x:v>Código</x:v>
      </x:c>
      <x:c r="B48" s="38" t="str">
        <x:v>Tema interno</x:v>
      </x:c>
      <x:c r="C48" s="38" t="str">
        <x:v>Expressão para localizar na transcrição</x:v>
      </x:c>
      <x:c r="D48" s="38" t="str">
        <x:v>Conteúdo utilizado</x:v>
      </x:c>
      <x:c r="E48" s="36"/>
      <x:c r="F48" s="36"/>
      <x:c r="G48" s="36"/>
      <x:c r="H48" s="36"/>
      <x:c r="I48" s="36"/>
      <x:c r="J48" s="36"/>
      <x:c r="K48" s="36"/>
    </x:row>
    <x:row r="49" ht="70" customHeight="1">
      <x:c r="A49" s="40" t="str">
        <x:v>Q01</x:v>
      </x:c>
      <x:c r="B49" s="40" t="str">
        <x:v>Segmentos e saúde</x:v>
      </x:c>
      <x:c r="C49" s="40" t="str">
        <x:v>quais são os segmentos de clientes</x:v>
      </x:c>
      <x:c r="D49" s="40" t="str">
        <x:v>Saúde descrita como mais rentável; sete Unimeds, segundo entrevistado.</x:v>
      </x:c>
      <x:c r="E49" s="36"/>
      <x:c r="F49" s="36"/>
      <x:c r="G49" s="36"/>
      <x:c r="H49" s="36"/>
      <x:c r="I49" s="36"/>
      <x:c r="J49" s="36"/>
      <x:c r="K49" s="36"/>
    </x:row>
    <x:row r="50" ht="70" customHeight="1">
      <x:c r="A50" s="39" t="str">
        <x:v>Q02</x:v>
      </x:c>
      <x:c r="B50" s="39" t="str">
        <x:v>Custos e contratação</x:v>
      </x:c>
      <x:c r="C50" s="39" t="str">
        <x:v>60 quase 70 por cento dos custos</x:v>
      </x:c>
      <x:c r="D50" s="39" t="str">
        <x:v>Folha 60–70%; preferência por formar talentos; instrutores também alocados.</x:v>
      </x:c>
      <x:c r="E50" s="36"/>
      <x:c r="F50" s="36"/>
      <x:c r="G50" s="36"/>
      <x:c r="H50" s="36"/>
      <x:c r="I50" s="36"/>
      <x:c r="J50" s="36"/>
      <x:c r="K50" s="36"/>
    </x:row>
    <x:row r="51" ht="70" customHeight="1">
      <x:c r="A51" s="40" t="str">
        <x:v>Q03</x:v>
      </x:c>
      <x:c r="B51" s="40" t="str">
        <x:v>ROI e valor</x:v>
      </x:c>
      <x:c r="C51" s="40" t="str">
        <x:v>eles exigem muito</x:v>
      </x:c>
      <x:c r="D51" s="40" t="str">
        <x:v>Mensuração por premissas de tempo. Horas liberadas não significam redução automática de caixa.</x:v>
      </x:c>
      <x:c r="E51" s="36"/>
      <x:c r="F51" s="36"/>
      <x:c r="G51" s="36"/>
      <x:c r="H51" s="36"/>
      <x:c r="I51" s="36"/>
      <x:c r="J51" s="36"/>
      <x:c r="K51" s="36"/>
    </x:row>
    <x:row r="52" ht="70" customHeight="1">
      <x:c r="A52" s="39" t="str">
        <x:v>Q04</x:v>
      </x:c>
      <x:c r="B52" s="39" t="str">
        <x:v>Canais e treinamento</x:v>
      </x:c>
      <x:c r="C52" s="39" t="str">
        <x:v>nossa principal hoje ainda é o site</x:v>
      </x:c>
      <x:c r="D52" s="39" t="str">
        <x:v>Site, eventos, SDR; estimativa dois em dez e admissão de falta de métrica específica.</x:v>
      </x:c>
      <x:c r="E52" s="36"/>
      <x:c r="F52" s="36"/>
      <x:c r="G52" s="36"/>
      <x:c r="H52" s="36"/>
      <x:c r="I52" s="36"/>
      <x:c r="J52" s="36"/>
      <x:c r="K52" s="36"/>
    </x:row>
    <x:row r="53" ht="70" customHeight="1">
      <x:c r="A53" s="40" t="str">
        <x:v>Q05</x:v>
      </x:c>
      <x:c r="B53" s="40" t="str">
        <x:v>Relacionamento e contratos</x:v>
      </x:c>
      <x:c r="C53" s="40" t="str">
        <x:v>oito a 10 anos</x:v>
      </x:c>
      <x:c r="D53" s="40" t="str">
        <x:v>Permanência estimada, conhecimento do cliente, contratos 12/24/36 meses e áreas internas.</x:v>
      </x:c>
      <x:c r="E53" s="36"/>
      <x:c r="F53" s="36"/>
      <x:c r="G53" s="36"/>
      <x:c r="H53" s="36"/>
      <x:c r="I53" s="36"/>
      <x:c r="J53" s="36"/>
      <x:c r="K53" s="36"/>
    </x:row>
    <x:row r="54" ht="70" customHeight="1">
      <x:c r="A54" s="39" t="str">
        <x:v>Q06</x:v>
      </x:c>
      <x:c r="B54" s="39" t="str">
        <x:v>IA e parcerias</x:v>
      </x:c>
      <x:c r="C54" s="39" t="str">
        <x:v>Hoje a gente tem enfrentado muito</x:v>
      </x:c>
      <x:c r="D54" s="39" t="str">
        <x:v>Shadow AI; parceria Anthropic e exigência de dez qualificações declarada, não auditada.</x:v>
      </x:c>
      <x:c r="E54" s="36"/>
      <x:c r="F54" s="36"/>
      <x:c r="G54" s="36"/>
      <x:c r="H54" s="36"/>
      <x:c r="I54" s="36"/>
      <x:c r="J54" s="36"/>
      <x:c r="K54" s="36"/>
    </x:row>
    <x:row r="55" ht="70" customHeight="1">
      <x:c r="A55" s="40" t="str">
        <x:v>Q07</x:v>
      </x:c>
      <x:c r="B55" s="40" t="str">
        <x:v>Expansão e seguros</x:v>
      </x:c>
      <x:c r="C55" s="40" t="str">
        <x:v>estamos abrindo financeiro na área de seguros</x:v>
      </x:c>
      <x:c r="D55" s="40" t="str">
        <x:v>Interesse de expansão; referências específicas em seguros não comprovadas nesta base.</x:v>
      </x:c>
      <x:c r="E55" s="36"/>
      <x:c r="F55" s="36"/>
      <x:c r="G55" s="36"/>
      <x:c r="H55" s="36"/>
      <x:c r="I55" s="36"/>
      <x:c r="J55" s="36"/>
      <x:c r="K55" s="36"/>
    </x:row>
    <x:row r="56" ht="70" customHeight="1">
      <x:c r="A56" s="39" t="str">
        <x:v>Q08</x:v>
      </x:c>
      <x:c r="B56" s="39" t="str">
        <x:v>Aprendizagem e CRM</x:v>
      </x:c>
      <x:c r="C56" s="39" t="str">
        <x:v>a gente usa o pite Drive hoje</x:v>
      </x:c>
      <x:c r="D56" s="39" t="str">
        <x:v>Migração de CRM em avaliação; incentivo à certificação; trilhas internas em estruturação.</x:v>
      </x:c>
      <x:c r="E56" s="36"/>
      <x:c r="F56" s="36"/>
      <x:c r="G56" s="36"/>
      <x:c r="H56" s="36"/>
      <x:c r="I56" s="36"/>
      <x:c r="J56" s="36"/>
      <x:c r="K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</x:row>
    <x:row r="58" ht="60" customHeight="1">
      <x:c r="A58" s="48" t="str">
        <x:v>Entrevista com profissionais da QSOFT, incluindo Marcelo Gomes da Cruz e marketing. Arquivo Entrevista com os profissionais da Qsoft(1).txt; data exata não informada. Marcadores Q localizam trechos na transcrição automática. A base de fontes externas tem referência em 30/09/2026. Nenhuma conclusão depende de briefing não disponível.</x:v>
      </x:c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</x:row>
  </x:sheetData>
  <x:mergeCells>
    <x:mergeCell ref="A1:K1"/>
    <x:mergeCell ref="A2:K2"/>
    <x:mergeCell ref="A20:K20"/>
    <x:mergeCell ref="A21:K21"/>
    <x:mergeCell ref="A22:K22"/>
    <x:mergeCell ref="B24:C24"/>
    <x:mergeCell ref="E24:G24"/>
    <x:mergeCell ref="H24:J24"/>
    <x:mergeCell ref="B25:C25"/>
    <x:mergeCell ref="E25:G25"/>
    <x:mergeCell ref="H25:J25"/>
    <x:mergeCell ref="B26:C26"/>
    <x:mergeCell ref="E26:G26"/>
    <x:mergeCell ref="H26:J26"/>
    <x:mergeCell ref="B27:C27"/>
    <x:mergeCell ref="E27:G27"/>
    <x:mergeCell ref="H27:J27"/>
    <x:mergeCell ref="B28:C28"/>
    <x:mergeCell ref="E28:G28"/>
    <x:mergeCell ref="H28:J28"/>
    <x:mergeCell ref="B29:C29"/>
    <x:mergeCell ref="E29:G29"/>
    <x:mergeCell ref="H29:J29"/>
    <x:mergeCell ref="B30:C30"/>
    <x:mergeCell ref="E30:G30"/>
    <x:mergeCell ref="H30:J30"/>
    <x:mergeCell ref="B31:C31"/>
    <x:mergeCell ref="E31:G31"/>
    <x:mergeCell ref="H31:J31"/>
    <x:mergeCell ref="B32:C32"/>
    <x:mergeCell ref="E32:G32"/>
    <x:mergeCell ref="H32:J32"/>
    <x:mergeCell ref="B33:C33"/>
    <x:mergeCell ref="E33:G33"/>
    <x:mergeCell ref="H33:J33"/>
    <x:mergeCell ref="B34:C34"/>
    <x:mergeCell ref="E34:G34"/>
    <x:mergeCell ref="H34:J34"/>
    <x:mergeCell ref="B35:C35"/>
    <x:mergeCell ref="E35:G35"/>
    <x:mergeCell ref="H35:J35"/>
    <x:mergeCell ref="B36:C36"/>
    <x:mergeCell ref="E36:G36"/>
    <x:mergeCell ref="H36:J36"/>
    <x:mergeCell ref="B37:C37"/>
    <x:mergeCell ref="E37:G37"/>
    <x:mergeCell ref="H37:J37"/>
    <x:mergeCell ref="B38:C38"/>
    <x:mergeCell ref="E38:G38"/>
    <x:mergeCell ref="H38:J38"/>
    <x:mergeCell ref="B39:C39"/>
    <x:mergeCell ref="E39:G39"/>
    <x:mergeCell ref="H39:J39"/>
    <x:mergeCell ref="B40:C40"/>
    <x:mergeCell ref="E40:G40"/>
    <x:mergeCell ref="H40:J40"/>
    <x:mergeCell ref="B41:C41"/>
    <x:mergeCell ref="E41:G41"/>
    <x:mergeCell ref="H41:J41"/>
    <x:mergeCell ref="B42:C42"/>
    <x:mergeCell ref="E42:G42"/>
    <x:mergeCell ref="H42:J42"/>
    <x:mergeCell ref="B43:C43"/>
    <x:mergeCell ref="E43:G43"/>
    <x:mergeCell ref="H43:J43"/>
    <x:mergeCell ref="B44:C44"/>
    <x:mergeCell ref="E44:G44"/>
    <x:mergeCell ref="H44:J44"/>
    <x:mergeCell ref="B45:C45"/>
    <x:mergeCell ref="E45:G45"/>
    <x:mergeCell ref="H45:J45"/>
    <x:mergeCell ref="A58:K5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34" hidden="0" customWidth="1"/>
    <x:col min="3" max="3" width="64" hidden="0" customWidth="1"/>
    <x:col min="4" max="4" width="11" hidden="0" customWidth="1"/>
    <x:col min="5" max="5" width="10" hidden="0" customWidth="1"/>
    <x:col min="6" max="6" width="13" hidden="0" customWidth="1"/>
    <x:col min="7" max="7" width="10" hidden="0" customWidth="1"/>
    <x:col min="8" max="8" width="46" hidden="0" customWidth="1"/>
    <x:col min="9" max="9" width="46" hidden="0" customWidth="1"/>
  </x:cols>
  <x:sheetData>
    <x:row r="1" ht="34" hidden="0" customHeight="1">
      <x:c r="A1" s="31" t="s">
        <x:v>1</x:v>
      </x:c>
      <x:c r="B1" s="31"/>
      <x:c r="C1" s="31"/>
      <x:c r="D1" s="31"/>
      <x:c r="E1" s="31"/>
      <x:c r="F1" s="31"/>
      <x:c r="G1" s="31"/>
      <x:c r="H1" s="31"/>
      <x:c r="I1" s="31"/>
    </x:row>
    <x:row r="2" ht="66" hidden="0" customHeight="1">
      <x:c r="A2" s="33" t="str">
        <x:v>A taxa calculada dos valores em dólar é 15,7%; a notícia ABES informa 18,5%. A causa da diferença não foi conciliada. O cenário de 2026 aplica +5,3% à base de US$ 67,8 bi e não deve ser apresentado como tamanho oficial do mercado. TI agregado e plataformas globais não equivalem ao nicho da QSOFT.</x:v>
      </x:c>
      <x:c r="B2" s="33"/>
      <x:c r="C2" s="33"/>
      <x:c r="D2" s="33"/>
      <x:c r="E2" s="33"/>
      <x:c r="F2" s="33"/>
      <x:c r="G2" s="33"/>
      <x:c r="H2" s="33"/>
      <x:c r="I2" s="33"/>
    </x:row>
    <x:row r="4" ht="36" hidden="0" customHeight="1">
      <x:c r="A4" s="38" t="str">
        <x:v>Cód.</x:v>
      </x:c>
      <x:c r="B4" s="38" t="str">
        <x:v>Fator estrutural</x:v>
      </x:c>
      <x:c r="C4" s="38" t="str">
        <x:v>Evidência</x:v>
      </x:c>
      <x:c r="D4" s="38" t="str">
        <x:v>Impacto</x:v>
      </x:c>
      <x:c r="E4" s="38" t="str">
        <x:v>Peso</x:v>
      </x:c>
      <x:c r="F4" s="38" t="str">
        <x:v>Prioridade</x:v>
      </x:c>
      <x:c r="G4" s="38" t="str">
        <x:v>Ranking</x:v>
      </x:c>
      <x:c r="H4" s="38" t="str">
        <x:v>Implicação</x:v>
      </x:c>
      <x:c r="I4" s="38" t="str">
        <x:v>Recomendação</x:v>
      </x:c>
    </x:row>
    <x:row r="5" ht="70" hidden="0" customHeight="1">
      <x:c r="A5" s="40" t="str">
        <x:v>M1</x:v>
      </x:c>
      <x:c r="B5" s="40" t="str">
        <x:v>Compra orientada a eficiência e ROI (maturidade)</x:v>
      </x:c>
      <x:c r="C5" s="40" t="str">
        <x:v>ABES: +5,3% em 2026 e 'fase de maturidade'; QSOFT: ROI calculado por premissas (tempos e movimentos), difícil de comprovar.</x:v>
      </x:c>
      <x:c r="D5" s="40" t="n">
        <x:v>5</x:v>
      </x:c>
      <x:c r="E5" s="41" t="n">
        <x:v>0.25</x:v>
      </x:c>
      <x:c r="F5" s="44" t="n">
        <x:f aca="0">D5*E5</x:f>
        <x:v>1.25</x:v>
      </x:c>
      <x:c r="G5" s="40" t="n">
        <x:f aca="0">RANK(F5,$F$5:$F$9,0)</x:f>
        <x:v>1</x:v>
      </x:c>
      <x:c r="H5" s="40" t="str">
        <x:v>Sem prova econômica, a proposta vira comparação de preço.</x:v>
      </x:c>
      <x:c r="I5" s="40" t="str">
        <x:v>Método padrão de ROI e cases quantificados.</x:v>
      </x:c>
    </x:row>
    <x:row r="6" ht="70" hidden="0" customHeight="1">
      <x:c r="A6" s="39" t="str">
        <x:v>M2</x:v>
      </x:c>
      <x:c r="B6" s="39" t="str">
        <x:v>Governança de dados e IA como novo vetor de demanda</x:v>
      </x:c>
      <x:c r="C6" s="39" t="str">
        <x:v>E03: previsão global de plataformas de governança; E02: uso pessoal residual na base Netskope; Q06: dor relatada.</x:v>
      </x:c>
      <x:c r="D6" s="39" t="n">
        <x:v>5</x:v>
      </x:c>
      <x:c r="E6" s="42" t="n">
        <x:v>0.25</x:v>
      </x:c>
      <x:c r="F6" s="45" t="n">
        <x:f aca="0">D6*E6</x:f>
        <x:v>1.25</x:v>
      </x:c>
      <x:c r="G6" s="39" t="n">
        <x:f aca="0">RANK(F6,$F$5:$F$9,0)</x:f>
        <x:v>1</x:v>
      </x:c>
      <x:c r="H6" s="39" t="str">
        <x:v>Demanda potencial em ambiente já disputado; validar compra no segmento.</x:v>
      </x:c>
      <x:c r="I6" s="39" t="str">
        <x:v>Delimitar a oferta e ocupar o tema com prova.</x:v>
      </x:c>
    </x:row>
    <x:row r="7" ht="70" hidden="0" customHeight="1">
      <x:c r="A7" s="40" t="str">
        <x:v>M3</x:v>
      </x:c>
      <x:c r="B7" s="40" t="str">
        <x:v>Recorrência: alocação, sustentação e contratos longos</x:v>
      </x:c>
      <x:c r="C7" s="40" t="str">
        <x:v>Q05: permanência estimada de 8–10 anos e contratos 12–36 meses; Q03: alocação concentra receita.</x:v>
      </x:c>
      <x:c r="D7" s="40" t="n">
        <x:v>4</x:v>
      </x:c>
      <x:c r="E7" s="41" t="n">
        <x:v>0.2</x:v>
      </x:c>
      <x:c r="F7" s="44" t="n">
        <x:f aca="0">D7*E7</x:f>
        <x:v>0.8</x:v>
      </x:c>
      <x:c r="G7" s="40" t="n">
        <x:f aca="0">RANK(F7,$F$5:$F$9,0)</x:f>
        <x:v>3</x:v>
      </x:c>
      <x:c r="H7" s="40" t="str">
        <x:v>Valor está na continuidade e na expansão por áreas.</x:v>
      </x:c>
      <x:c r="I7" s="40" t="str">
        <x:v>Comunicar continuidade e evolução do contrato.</x:v>
      </x:c>
    </x:row>
    <x:row r="8" ht="70" hidden="0" customHeight="1">
      <x:c r="A8" s="39" t="str">
        <x:v>M4</x:v>
      </x:c>
      <x:c r="B8" s="39" t="str">
        <x:v>Compra B2B complexa e ciclo longo</x:v>
      </x:c>
      <x:c r="C8" s="39" t="str">
        <x:v>Alocação ~6 meses (casos de até 2 anos); negócio tem orçamento, mas TI precisa ser convencida.</x:v>
      </x:c>
      <x:c r="D8" s="39" t="n">
        <x:v>4</x:v>
      </x:c>
      <x:c r="E8" s="42" t="n">
        <x:v>0.18</x:v>
      </x:c>
      <x:c r="F8" s="45" t="n">
        <x:f aca="0">D8*E8</x:f>
        <x:v>0.72</x:v>
      </x:c>
      <x:c r="G8" s="39" t="n">
        <x:f aca="0">RANK(F8,$F$5:$F$9,0)</x:f>
        <x:v>4</x:v>
      </x:c>
      <x:c r="H8" s="39" t="str">
        <x:v>Cada decisor exige uma prova diferente.</x:v>
      </x:c>
      <x:c r="I8" s="39" t="str">
        <x:v>Argumentos por papel (negócio, TI, finanças).</x:v>
      </x:c>
    </x:row>
    <x:row r="9" ht="70" hidden="0" customHeight="1">
      <x:c r="A9" s="40" t="str">
        <x:v>M5</x:v>
      </x:c>
      <x:c r="B9" s="40" t="str">
        <x:v>Commoditização tecnológica e coopetição</x:v>
      </x:c>
      <x:c r="C9" s="40" t="str">
        <x:v>Q06: múltiplas stacks e coopetição; funcionalidades embarcadas ampliam alternativas, sem equivalência técnica.</x:v>
      </x:c>
      <x:c r="D9" s="40" t="n">
        <x:v>3</x:v>
      </x:c>
      <x:c r="E9" s="41" t="n">
        <x:v>0.12</x:v>
      </x:c>
      <x:c r="F9" s="44" t="n">
        <x:f aca="0">D9*E9</x:f>
        <x:v>0.36</x:v>
      </x:c>
      <x:c r="G9" s="40" t="n">
        <x:f aca="0">RANK(F9,$F$5:$F$9,0)</x:f>
        <x:v>5</x:v>
      </x:c>
      <x:c r="H9" s="40" t="str">
        <x:v>Diferenciação por ferramenta é frágil.</x:v>
      </x:c>
      <x:c r="I9" s="40" t="str">
        <x:v>Diferenciar por método, relacionamento e resultado.</x:v>
      </x:c>
    </x:row>
    <x:row r="10" ht="70" hidden="0" customHeight="1">
      <x:c r="A10" s="36"/>
      <x:c r="B10" s="36" t="str">
        <x:v>TOTAL</x:v>
      </x:c>
      <x:c r="C10" s="36"/>
      <x:c r="D10" s="36"/>
      <x:c r="E10" s="43" t="n">
        <x:f aca="0">SUM(E5:E9)</x:f>
        <x:v>0.9999999999999999</x:v>
      </x:c>
      <x:c r="F10" s="46" t="n">
        <x:f aca="0">SUM(F5:F9)</x:f>
        <x:v>4.38</x:v>
      </x:c>
      <x:c r="G10" s="36"/>
      <x:c r="H10" s="36"/>
      <x:c r="I10" s="36"/>
    </x:row>
    <x:row r="11" ht="70" customHeight="1">
      <x:c r="A11" s="36"/>
      <x:c r="B11" s="36"/>
      <x:c r="C11" s="36"/>
      <x:c r="D11" s="36"/>
      <x:c r="E11" s="36"/>
      <x:c r="F11" s="36"/>
      <x:c r="G11" s="36"/>
      <x:c r="H11" s="36"/>
      <x:c r="I11" s="36"/>
    </x:row>
    <x:row r="12" ht="36" hidden="0" customHeight="1">
      <x:c r="A12" s="38" t="str">
        <x:v>Ano</x:v>
      </x:c>
      <x:c r="B12" s="38" t="str">
        <x:v>TI Brasil (US$ bi)</x:v>
      </x:c>
      <x:c r="C12" s="38" t="str">
        <x:v>Taxa divulgada</x:v>
      </x:c>
      <x:c r="D12" s="38" t="str">
        <x:v>Variação calculada</x:v>
      </x:c>
      <x:c r="E12" s="38" t="str">
        <x:v>Fonte / ressalva</x:v>
      </x:c>
      <x:c r="F12" s="36"/>
      <x:c r="G12" s="36"/>
      <x:c r="H12" s="36"/>
      <x:c r="I12" s="36"/>
    </x:row>
    <x:row r="13" ht="70" hidden="0" customHeight="1">
      <x:c r="A13" s="40" t="str">
        <x:v>2024</x:v>
      </x:c>
      <x:c r="B13" s="49" t="n">
        <x:v>58.6</x:v>
      </x:c>
      <x:c r="C13" s="51"/>
      <x:c r="D13" s="51"/>
      <x:c r="E13" s="40" t="str">
        <x:v>E01 ABES: mercado agregado de TI.</x:v>
      </x:c>
      <x:c r="F13" s="36"/>
      <x:c r="G13" s="36"/>
      <x:c r="H13" s="36"/>
      <x:c r="I13" s="36"/>
    </x:row>
    <x:row r="14" ht="70" hidden="0" customHeight="1">
      <x:c r="A14" s="39" t="str">
        <x:v>2025</x:v>
      </x:c>
      <x:c r="B14" s="50" t="n">
        <x:v>67.8</x:v>
      </x:c>
      <x:c r="C14" s="52" t="n">
        <x:v>0.185</x:v>
      </x:c>
      <x:c r="D14" s="52" t="n">
        <x:f>B14/B13-1</x:f>
        <x:v>0.15699658703071662</x:v>
      </x:c>
      <x:c r="E14" s="39" t="str">
        <x:v>18,5% divulgado; causa da divergência com valores em US$ não conciliada.</x:v>
      </x:c>
      <x:c r="F14" s="36"/>
      <x:c r="G14" s="36"/>
      <x:c r="H14" s="36"/>
      <x:c r="I14" s="36"/>
    </x:row>
    <x:row r="15" ht="70" hidden="0" customHeight="1">
      <x:c r="A15" s="40" t="str">
        <x:v>2026 cenário</x:v>
      </x:c>
      <x:c r="B15" s="49" t="n">
        <x:f>B14*(1+C15)</x:f>
        <x:v>71.3934</x:v>
      </x:c>
      <x:c r="C15" s="51" t="n">
        <x:f aca="0"/>
        <x:v>0.053</x:v>
      </x:c>
      <x:c r="D15" s="51"/>
      <x:c r="E15" s="40" t="str">
        <x:v>Cenário aritmético do grupo; +5,3% projetado pela ABES. Não valor oficial em US$.</x:v>
      </x:c>
      <x:c r="F15" s="36"/>
      <x:c r="G15" s="36"/>
      <x:c r="H15" s="36"/>
      <x:c r="I15" s="36"/>
    </x:row>
    <x:row r="16" ht="70" customHeight="1">
      <x:c r="A16" s="36"/>
      <x:c r="B16" s="36"/>
      <x:c r="C16" s="36"/>
      <x:c r="D16" s="36"/>
      <x:c r="E16" s="36"/>
      <x:c r="F16" s="36"/>
      <x:c r="G16" s="36"/>
      <x:c r="H16" s="36"/>
      <x:c r="I16" s="36"/>
    </x:row>
    <x:row r="17" ht="65" customHeight="1">
      <x:c r="A17" s="48" t="str">
        <x:v>Ponderação do mercado. M1/M2 recebem 25% por condicionarem compra e proposta; M3 20% pelo modelo recorrente; M4 18% pelo ciclo/centro de compras; M5 12% pela substituição de etapas. Impactos 5 em M1/M2 refletem prioridade analítica. A expansão do nicho não foi medida; a hipótese é de demanda seletiva por governança e retorno.</x:v>
      </x:c>
      <x:c r="B17" s="48"/>
      <x:c r="C17" s="48"/>
      <x:c r="D17" s="48"/>
      <x:c r="E17" s="48"/>
      <x:c r="F17" s="48"/>
      <x:c r="G17" s="48"/>
      <x:c r="H17" s="48"/>
      <x:c r="I17" s="48"/>
    </x:row>
    <x:row r="18" ht="50" customHeight="1">
      <x:c r="A18" s="48" t="str">
        <x:v>M1/M4: Q03/Q05 (prova e decisores); M2: E02/E03/Q06 (demanda potencial); M3: Q05 (relato de continuidade); M5: Q06 (substituição de etapas). Série não mede o nicho de consultoria QSOFT.</x:v>
      </x:c>
      <x:c r="B18" s="48"/>
      <x:c r="C18" s="48"/>
      <x:c r="D18" s="48"/>
      <x:c r="E18" s="48"/>
      <x:c r="F18" s="48"/>
      <x:c r="G18" s="48"/>
      <x:c r="H18" s="48"/>
      <x:c r="I18" s="48"/>
    </x:row>
    <x:row r="19" ht="70" customHeight="1">
      <x:c r="A19" s="36"/>
      <x:c r="B19" s="36"/>
      <x:c r="C19" s="36"/>
      <x:c r="D19" s="36"/>
      <x:c r="E19" s="36"/>
      <x:c r="F19" s="36"/>
      <x:c r="G19" s="36"/>
      <x:c r="H19" s="36"/>
      <x:c r="I19" s="36"/>
    </x:row>
    <x:row r="20" ht="70" customHeight="1">
      <x:c r="A20" s="36"/>
      <x:c r="B20" s="36"/>
      <x:c r="C20" s="36"/>
      <x:c r="D20" s="36"/>
      <x:c r="E20" s="36"/>
      <x:c r="F20" s="36"/>
      <x:c r="G20" s="36"/>
      <x:c r="H20" s="36"/>
      <x:c r="I20" s="36"/>
    </x:row>
    <x:row r="21" ht="70" customHeight="1">
      <x:c r="A21" s="36"/>
      <x:c r="B21" s="36"/>
      <x:c r="C21" s="36"/>
      <x:c r="D21" s="36"/>
      <x:c r="E21" s="36"/>
      <x:c r="F21" s="36"/>
      <x:c r="G21" s="36"/>
      <x:c r="H21" s="36"/>
      <x:c r="I21" s="36"/>
    </x:row>
    <x:row r="22" ht="70" customHeight="1">
      <x:c r="A22" s="36"/>
      <x:c r="B22" s="36"/>
      <x:c r="C22" s="36"/>
      <x:c r="D22" s="36"/>
      <x:c r="E22" s="36"/>
      <x:c r="F22" s="36"/>
      <x:c r="G22" s="36"/>
      <x:c r="H22" s="36"/>
      <x:c r="I22" s="36"/>
    </x:row>
    <x:row r="23" ht="70" customHeight="1">
      <x:c r="A23" s="36"/>
      <x:c r="B23" s="36"/>
      <x:c r="C23" s="36"/>
      <x:c r="D23" s="36"/>
      <x:c r="E23" s="36"/>
      <x:c r="F23" s="36"/>
      <x:c r="G23" s="36"/>
      <x:c r="H23" s="36"/>
      <x:c r="I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</x:row>
    <x:row r="25" ht="70" customHeight="1">
      <x:c r="A25" s="36"/>
      <x:c r="B25" s="36"/>
      <x:c r="C25" s="36"/>
      <x:c r="D25" s="36"/>
      <x:c r="E25" s="36"/>
      <x:c r="F25" s="36"/>
      <x:c r="G25" s="36"/>
      <x:c r="H25" s="36"/>
      <x:c r="I25" s="36"/>
    </x:row>
    <x:row r="26" ht="70" customHeight="1">
      <x:c r="A26" s="36"/>
      <x:c r="B26" s="36"/>
      <x:c r="C26" s="36"/>
      <x:c r="D26" s="36"/>
      <x:c r="E26" s="36"/>
      <x:c r="F26" s="36"/>
      <x:c r="G26" s="36"/>
      <x:c r="H26" s="36"/>
      <x:c r="I26" s="36"/>
    </x:row>
    <x:row r="27" ht="70" customHeight="1">
      <x:c r="A27" s="36"/>
      <x:c r="B27" s="36"/>
      <x:c r="C27" s="36"/>
      <x:c r="D27" s="36"/>
      <x:c r="E27" s="36"/>
      <x:c r="F27" s="36"/>
      <x:c r="G27" s="36"/>
      <x:c r="H27" s="36"/>
      <x:c r="I27" s="36"/>
    </x:row>
    <x:row r="28" ht="70" customHeight="1">
      <x:c r="A28" s="36"/>
      <x:c r="B28" s="36"/>
      <x:c r="C28" s="36"/>
      <x:c r="D28" s="36"/>
      <x:c r="E28" s="36"/>
      <x:c r="F28" s="36"/>
      <x:c r="G28" s="36"/>
      <x:c r="H28" s="36"/>
      <x:c r="I28" s="36"/>
    </x:row>
    <x:row r="29" ht="70" customHeight="1">
      <x:c r="A29" s="36"/>
      <x:c r="B29" s="36"/>
      <x:c r="C29" s="36"/>
      <x:c r="D29" s="36"/>
      <x:c r="E29" s="36"/>
      <x:c r="F29" s="36"/>
      <x:c r="G29" s="36"/>
      <x:c r="H29" s="36"/>
      <x:c r="I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</x:row>
    <x:row r="32" ht="70" customHeight="1">
      <x:c r="A32" s="36"/>
      <x:c r="B32" s="36"/>
      <x:c r="C32" s="36"/>
      <x:c r="D32" s="36"/>
      <x:c r="E32" s="36"/>
      <x:c r="F32" s="36"/>
      <x:c r="G32" s="36"/>
      <x:c r="H32" s="36"/>
      <x:c r="I32" s="36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</x:row>
  </x:sheetData>
  <x:mergeCells>
    <x:mergeCell ref="A1:I1"/>
    <x:mergeCell ref="A2:I2"/>
    <x:mergeCell ref="A17:I17"/>
    <x:mergeCell ref="A18:I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38" hidden="0" customWidth="1"/>
    <x:col min="3" max="3" width="10" hidden="0" customWidth="1"/>
    <x:col min="4" max="11" width="8" hidden="0" customWidth="1"/>
    <x:col min="12" max="12" width="8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 ht="34" hidden="0" customHeight="1">
      <x:c r="A1" s="31" t="s">
        <x:v>2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66" hidden="0" customHeight="1">
      <x:c r="A2" s="33" t="str">
        <x:v>CPM. Mantêm-se oito fatores críticos e pesos de 100%. F1/F2/F3 têm 15% cada por reduzirem risco de compra; F6 13% por condicionar compromisso; F4 12% por integrar a jornada; F5/F7/F8 10% cada por habilitarem execução, contratação e inovação. As notas avaliam critérios documentados com rubricas, não desempenho auditado. Sem base comparável, a célula recebe NV.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4" ht="36" hidden="0" customHeight="1">
      <x:c r="A4" s="38" t="str">
        <x:v>Cód.</x:v>
      </x:c>
      <x:c r="B4" s="38" t="str">
        <x:v>Fator crítico</x:v>
      </x:c>
      <x:c r="C4" s="38" t="str">
        <x:v>Peso</x:v>
      </x:c>
      <x:c r="D4" s="38" t="str">
        <x:v>QSOFT nota</x:v>
      </x:c>
      <x:c r="E4" s="38" t="str">
        <x:v>QSOFT pond.</x:v>
      </x:c>
      <x:c r="F4" s="38" t="str">
        <x:v>RED nota</x:v>
      </x:c>
      <x:c r="G4" s="38" t="str">
        <x:v>RED pond.</x:v>
      </x:c>
      <x:c r="H4" s="38" t="str">
        <x:v>Indicium nota</x:v>
      </x:c>
      <x:c r="I4" s="38" t="str">
        <x:v>Indicium pond.</x:v>
      </x:c>
      <x:c r="J4" s="38" t="str">
        <x:v>Keyrus nota</x:v>
      </x:c>
      <x:c r="K4" s="38" t="str">
        <x:v>Keyrus pond.</x:v>
      </x:c>
      <x:c r="L4" s="38" t="str">
        <x:v>Evidência específica por empresa</x:v>
      </x:c>
    </x:row>
    <x:row r="5" ht="105" hidden="0" customHeight="1">
      <x:c r="A5" s="40" t="str">
        <x:v>F1</x:v>
      </x:c>
      <x:c r="B5" s="40" t="str">
        <x:v>Resultado comprovado e cases</x:v>
      </x:c>
      <x:c r="C5" s="41" t="n">
        <x:v>0.15</x:v>
      </x:c>
      <x:c r="D5" s="40" t="n">
        <x:v>4</x:v>
      </x:c>
      <x:c r="E5" s="44" t="n">
        <x:f aca="0">IF(ISNUMBER(D5),$C5*D5,"NV")</x:f>
        <x:v>0.6</x:v>
      </x:c>
      <x:c r="F5" s="40" t="n">
        <x:v>3</x:v>
      </x:c>
      <x:c r="G5" s="44" t="n">
        <x:f aca="0">IF(ISNUMBER(F5),$C5*F5,"NV")</x:f>
        <x:v>0.44999999999999996</x:v>
      </x:c>
      <x:c r="H5" s="40" t="n">
        <x:v>4</x:v>
      </x:c>
      <x:c r="I5" s="44" t="n">
        <x:f aca="0">IF(ISNUMBER(H5),$C5*H5,"NV")</x:f>
        <x:v>0.6</x:v>
      </x:c>
      <x:c r="J5" s="40" t="n">
        <x:v>4</x:v>
      </x:c>
      <x:c r="K5" s="44" t="n">
        <x:f aca="0">IF(ISNUMBER(J5),$C5*J5,"NV")</x:f>
        <x:v>0.6</x:v>
      </x:c>
      <x:c r="L5" s="40" t="str">
        <x:v>QSOFT 4: E12, Unimed. RED 3: E14, cases qualitativos. Indicium 4: E16/E17. Keyrus 4: E20, indicadores publicados, clientes não nomeados. Todas são declarações institucionais.</x:v>
      </x:c>
    </x:row>
    <x:row r="6" ht="105" hidden="0" customHeight="1">
      <x:c r="A6" s="39" t="str">
        <x:v>F2</x:v>
      </x:c>
      <x:c r="B6" s="39" t="str">
        <x:v>Relacionamento e continuidade</x:v>
      </x:c>
      <x:c r="C6" s="42" t="n">
        <x:v>0.15</x:v>
      </x:c>
      <x:c r="D6" s="39" t="n">
        <x:v>4</x:v>
      </x:c>
      <x:c r="E6" s="45" t="n">
        <x:f aca="0">IF(ISNUMBER(D6),$C6*D6,"NV")</x:f>
        <x:v>0.6</x:v>
      </x:c>
      <x:c r="F6" s="39" t="str">
        <x:v>NV</x:v>
      </x:c>
      <x:c r="G6" s="45" t="str">
        <x:f aca="0">IF(ISNUMBER(F6),$C6*F6,"NV")</x:f>
        <x:v>NV</x:v>
      </x:c>
      <x:c r="H6" s="39" t="str">
        <x:v>NV</x:v>
      </x:c>
      <x:c r="I6" s="45" t="str">
        <x:f aca="0">IF(ISNUMBER(H6),$C6*H6,"NV")</x:f>
        <x:v>NV</x:v>
      </x:c>
      <x:c r="J6" s="39" t="str">
        <x:v>NV</x:v>
      </x:c>
      <x:c r="K6" s="45" t="str">
        <x:f aca="0">IF(ISNUMBER(J6),$C6*J6,"NV")</x:f>
        <x:v>NV</x:v>
      </x:c>
      <x:c r="L6" s="39" t="str">
        <x:v>QSOFT 4: E12, depoimento de cinco anos; Q05, permanência estimada. RED/Indicium/Keyrus NV: duração/retensão de carteira não comparável nesta base. Não comprova superioridade QSOFT.</x:v>
      </x:c>
    </x:row>
    <x:row r="7" ht="105" hidden="0" customHeight="1">
      <x:c r="A7" s="40" t="str">
        <x:v>F3</x:v>
      </x:c>
      <x:c r="B7" s="40" t="str">
        <x:v>Governança de dados e IA</x:v>
      </x:c>
      <x:c r="C7" s="41" t="n">
        <x:v>0.15</x:v>
      </x:c>
      <x:c r="D7" s="40" t="n">
        <x:v>3</x:v>
      </x:c>
      <x:c r="E7" s="44" t="n">
        <x:f aca="0">IF(ISNUMBER(D7),$C7*D7,"NV")</x:f>
        <x:v>0.44999999999999996</x:v>
      </x:c>
      <x:c r="F7" s="40" t="str">
        <x:v>NV</x:v>
      </x:c>
      <x:c r="G7" s="44" t="str">
        <x:f aca="0">IF(ISNUMBER(F7),$C7*F7,"NV")</x:f>
        <x:v>NV</x:v>
      </x:c>
      <x:c r="H7" s="40" t="n">
        <x:v>4</x:v>
      </x:c>
      <x:c r="I7" s="44" t="n">
        <x:f aca="0">IF(ISNUMBER(H7),$C7*H7,"NV")</x:f>
        <x:v>0.6</x:v>
      </x:c>
      <x:c r="J7" s="40" t="n">
        <x:v>4</x:v>
      </x:c>
      <x:c r="K7" s="44" t="n">
        <x:f aca="0">IF(ISNUMBER(J7),$C7*J7,"NV")</x:f>
        <x:v>0.6</x:v>
      </x:c>
      <x:c r="L7" s="40" t="str">
        <x:v>QSOFT 3: E12/Q06, dados e necessidade IA. RED NV: escopo não confirmado. Indicium 4: E15–E17, controles e responsabilidades. Keyrus 4: E18/E19. ISO isolada não pontua governança IA.</x:v>
      </x:c>
    </x:row>
    <x:row r="8" ht="105" hidden="0" customHeight="1">
      <x:c r="A8" s="39" t="str">
        <x:v>F4</x:v>
      </x:c>
      <x:c r="B8" s="39" t="str">
        <x:v>Portfólio integrado</x:v>
      </x:c>
      <x:c r="C8" s="42" t="n">
        <x:v>0.12</x:v>
      </x:c>
      <x:c r="D8" s="39" t="n">
        <x:v>5</x:v>
      </x:c>
      <x:c r="E8" s="45" t="n">
        <x:f aca="0">IF(ISNUMBER(D8),$C8*D8,"NV")</x:f>
        <x:v>0.6</x:v>
      </x:c>
      <x:c r="F8" s="39" t="n">
        <x:v>4</x:v>
      </x:c>
      <x:c r="G8" s="45" t="n">
        <x:f aca="0">IF(ISNUMBER(F8),$C8*F8,"NV")</x:f>
        <x:v>0.48</x:v>
      </x:c>
      <x:c r="H8" s="39" t="n">
        <x:v>5</x:v>
      </x:c>
      <x:c r="I8" s="45" t="n">
        <x:f aca="0">IF(ISNUMBER(H8),$C8*H8,"NV")</x:f>
        <x:v>0.6</x:v>
      </x:c>
      <x:c r="J8" s="39" t="n">
        <x:v>5</x:v>
      </x:c>
      <x:c r="K8" s="45" t="n">
        <x:f aca="0">IF(ISNUMBER(J8),$C8*J8,"NV")</x:f>
        <x:v>0.6</x:v>
      </x:c>
      <x:c r="L8" s="39" t="str">
        <x:v>QSOFT 5: E13, cinco frentes. RED 4: E14, consultoria, soluções aplicadas, treinamento e suporte. Indicium 5: E15/E17, estratégia, squads, operação, adoção e aceleradores. Keyrus 5: E20, diagnóstico, projetos, fábrica/equipe, capacitação e sustentação.</x:v>
      </x:c>
    </x:row>
    <x:row r="9" ht="105" hidden="0" customHeight="1">
      <x:c r="A9" s="40" t="str">
        <x:v>F5</x:v>
      </x:c>
      <x:c r="B9" s="40" t="str">
        <x:v>Alianças tecnológicas aplicadas</x:v>
      </x:c>
      <x:c r="C9" s="41" t="n">
        <x:v>0.1</x:v>
      </x:c>
      <x:c r="D9" s="40" t="n">
        <x:v>4</x:v>
      </x:c>
      <x:c r="E9" s="44" t="n">
        <x:f aca="0">IF(ISNUMBER(D9),$C9*D9,"NV")</x:f>
        <x:v>0.4</x:v>
      </x:c>
      <x:c r="F9" s="40" t="str">
        <x:v>NV</x:v>
      </x:c>
      <x:c r="G9" s="44" t="str">
        <x:f aca="0">IF(ISNUMBER(F9),$C9*F9,"NV")</x:f>
        <x:v>NV</x:v>
      </x:c>
      <x:c r="H9" s="40" t="n">
        <x:v>4</x:v>
      </x:c>
      <x:c r="I9" s="44" t="n">
        <x:f aca="0">IF(ISNUMBER(H9),$C9*H9,"NV")</x:f>
        <x:v>0.4</x:v>
      </x:c>
      <x:c r="J9" s="40" t="n">
        <x:v>4</x:v>
      </x:c>
      <x:c r="K9" s="44" t="n">
        <x:f aca="0">IF(ISNUMBER(J9),$C9*J9,"NV")</x:f>
        <x:v>0.4</x:v>
      </x:c>
      <x:c r="L9" s="40" t="str">
        <x:v>QSOFT 4: E12/E13, plataformas nomeadas e aplicação. RED NV: alianças aplicadas não confirmadas. Indicium 4: E16/E17, Databricks/dbt. Keyrus 4: E20/E21, Microsoft e ecossistema. Quantidade de certificados locais não verificada.</x:v>
      </x:c>
    </x:row>
    <x:row r="10" ht="105" hidden="0" customHeight="1">
      <x:c r="A10" s="39" t="str">
        <x:v>F6</x:v>
      </x:c>
      <x:c r="B10" s="39" t="str">
        <x:v>Capacidade disponível para entrega no Brasil</x:v>
      </x:c>
      <x:c r="C10" s="42" t="n">
        <x:v>0.13</x:v>
      </x:c>
      <x:c r="D10" s="39" t="str">
        <x:v>NV</x:v>
      </x:c>
      <x:c r="E10" s="45" t="str">
        <x:f aca="0">IF(ISNUMBER(D10),$C10*D10,"NV")</x:f>
        <x:v>NV</x:v>
      </x:c>
      <x:c r="F10" s="39" t="str">
        <x:v>NV</x:v>
      </x:c>
      <x:c r="G10" s="45" t="str">
        <x:f aca="0">IF(ISNUMBER(F10),$C10*F10,"NV")</x:f>
        <x:v>NV</x:v>
      </x:c>
      <x:c r="H10" s="39" t="str">
        <x:v>NV</x:v>
      </x:c>
      <x:c r="I10" s="45" t="str">
        <x:f aca="0">IF(ISNUMBER(H10),$C10*H10,"NV")</x:f>
        <x:v>NV</x:v>
      </x:c>
      <x:c r="J10" s="39" t="str">
        <x:v>NV</x:v>
      </x:c>
      <x:c r="K10" s="45" t="str">
        <x:f aca="0">IF(ISNUMBER(J10),$C10*J10,"NV")</x:f>
        <x:v>NV</x:v>
      </x:c>
      <x:c r="L10" s="39" t="str">
        <x:v>Todas NV: não há quadro comparável de disponibilidade de equipe e SLA no Brasil. Porte global não substitui essa informação. Q02 descreve restrição de agenda, sem medida para pontuação.</x:v>
      </x:c>
    </x:row>
    <x:row r="11" ht="105" hidden="0" customHeight="1">
      <x:c r="A11" s="40" t="str">
        <x:v>F7</x:v>
      </x:c>
      <x:c r="B11" s="40" t="str">
        <x:v>Flexibilidade de contratação</x:v>
      </x:c>
      <x:c r="C11" s="41" t="n">
        <x:v>0.1</x:v>
      </x:c>
      <x:c r="D11" s="40" t="n">
        <x:v>4</x:v>
      </x:c>
      <x:c r="E11" s="44" t="n">
        <x:f aca="0">IF(ISNUMBER(D11),$C11*D11,"NV")</x:f>
        <x:v>0.4</x:v>
      </x:c>
      <x:c r="F11" s="40" t="str">
        <x:v>NV</x:v>
      </x:c>
      <x:c r="G11" s="44" t="str">
        <x:f aca="0">IF(ISNUMBER(F11),$C11*F11,"NV")</x:f>
        <x:v>NV</x:v>
      </x:c>
      <x:c r="H11" s="40" t="str">
        <x:v>NV</x:v>
      </x:c>
      <x:c r="I11" s="44" t="str">
        <x:f aca="0">IF(ISNUMBER(H11),$C11*H11,"NV")</x:f>
        <x:v>NV</x:v>
      </x:c>
      <x:c r="J11" s="40" t="str">
        <x:v>NV</x:v>
      </x:c>
      <x:c r="K11" s="44" t="str">
        <x:f aca="0">IF(ISNUMBER(J11),$C11*J11,"NV")</x:f>
        <x:v>NV</x:v>
      </x:c>
      <x:c r="L11" s="40" t="str">
        <x:v>QSOFT 4: Q05 e trecho final da entrevista, pacotes de 20/40/80/160h e contratos longos. RED/Indicium/Keyrus NV: propostas equivalentes não obtidas. Custo-benefício não foi pontuado.</x:v>
      </x:c>
    </x:row>
    <x:row r="12" ht="105" hidden="0" customHeight="1">
      <x:c r="A12" s="39" t="str">
        <x:v>F8</x:v>
      </x:c>
      <x:c r="B12" s="39" t="str">
        <x:v>Inovação aplicada e produtização</x:v>
      </x:c>
      <x:c r="C12" s="42" t="n">
        <x:v>0.1</x:v>
      </x:c>
      <x:c r="D12" s="39" t="n">
        <x:v>3</x:v>
      </x:c>
      <x:c r="E12" s="45" t="n">
        <x:f aca="0">IF(ISNUMBER(D12),$C12*D12,"NV")</x:f>
        <x:v>0.30000000000000004</x:v>
      </x:c>
      <x:c r="F12" s="39" t="n">
        <x:v>3</x:v>
      </x:c>
      <x:c r="G12" s="45" t="n">
        <x:f aca="0">IF(ISNUMBER(F12),$C12*F12,"NV")</x:f>
        <x:v>0.30000000000000004</x:v>
      </x:c>
      <x:c r="H12" s="39" t="n">
        <x:v>4</x:v>
      </x:c>
      <x:c r="I12" s="45" t="n">
        <x:f aca="0">IF(ISNUMBER(H12),$C12*H12,"NV")</x:f>
        <x:v>0.4</x:v>
      </x:c>
      <x:c r="J12" s="39" t="n">
        <x:v>4</x:v>
      </x:c>
      <x:c r="K12" s="45" t="n">
        <x:f aca="0">IF(ISNUMBER(J12),$C12*J12,"NV")</x:f>
        <x:v>0.4</x:v>
      </x:c>
      <x:c r="L12" s="39" t="str">
        <x:v>QSOFT 3: E13, soluções customizadas; produto IA não validado. RED 3: E14, cases aplicados. Indicium 4: E17, agente de migração reutilizável. Keyrus 4: E20, frameworks proprietários e fábrica.</x:v>
      </x:c>
    </x:row>
    <x:row r="13" ht="70" hidden="0" customHeight="1">
      <x:c r="A13" s="36"/>
      <x:c r="B13" s="36" t="str">
        <x:v>TOTAL COMPLETO</x:v>
      </x:c>
      <x:c r="C13" s="43" t="n">
        <x:f aca="0">SUM(C5:C12)</x:f>
        <x:v>0.9999999999999999</x:v>
      </x:c>
      <x:c r="D13" s="36"/>
      <x:c r="E13" s="46" t="str">
        <x:f aca="0">IF(COUNT(D5:D12)=8,SUM(E5:E12),"NV")</x:f>
        <x:v>NV</x:v>
      </x:c>
      <x:c r="F13" s="36"/>
      <x:c r="G13" s="46" t="str">
        <x:f aca="0">IF(COUNT(F5:F12)=8,SUM(G5:G12),"NV")</x:f>
        <x:v>NV</x:v>
      </x:c>
      <x:c r="H13" s="36"/>
      <x:c r="I13" s="46" t="str">
        <x:f aca="0">IF(COUNT(H5:H12)=8,SUM(I5:I12),"NV")</x:f>
        <x:v>NV</x:v>
      </x:c>
      <x:c r="J13" s="36"/>
      <x:c r="K13" s="46" t="str">
        <x:f aca="0">IF(COUNT(J5:J12)=8,SUM(K5:K12),"NV")</x:f>
        <x:v>NV</x:v>
      </x:c>
      <x:c r="L13" s="36"/>
    </x:row>
    <x:row r="14" ht="70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 ht="36" hidden="0" customHeight="1">
      <x:c r="A15" s="38" t="str">
        <x:v>Cód.</x:v>
      </x:c>
      <x:c r="B15" s="38" t="str">
        <x:v>Fator</x:v>
      </x:c>
      <x:c r="C15" s="38" t="str">
        <x:v>Peso</x:v>
      </x:c>
      <x:c r="D15" s="38" t="str">
        <x:v>QSOFT</x:v>
      </x:c>
      <x:c r="E15" s="38" t="str">
        <x:v>Maior nota dos rivais</x:v>
      </x:c>
      <x:c r="F15" s="38" t="str">
        <x:v>Gap</x:v>
      </x:c>
      <x:c r="G15" s="38" t="str">
        <x:v>Gap ponderado</x:v>
      </x:c>
      <x:c r="H15" s="38" t="str">
        <x:v>Recomendação</x:v>
      </x:c>
      <x:c r="I15" s="36"/>
      <x:c r="J15" s="36"/>
      <x:c r="K15" s="36"/>
      <x:c r="L15" s="36"/>
    </x:row>
    <x:row r="16" ht="70" hidden="0" customHeight="1">
      <x:c r="A16" s="40" t="str">
        <x:f aca="0"/>
        <x:v>F1</x:v>
      </x:c>
      <x:c r="B16" s="40" t="str">
        <x:f aca="0"/>
        <x:v>Resultado comprovado e cases</x:v>
      </x:c>
      <x:c r="C16" s="41" t="n">
        <x:f aca="0"/>
        <x:v>0.15</x:v>
      </x:c>
      <x:c r="D16" s="40" t="n">
        <x:f aca="0">D5</x:f>
        <x:v>4</x:v>
      </x:c>
      <x:c r="E16" s="40" t="n">
        <x:f aca="0">IF(COUNT(F5,H5,J5)=0,"NV",MAX(F5,H5,J5))</x:f>
        <x:v>4</x:v>
      </x:c>
      <x:c r="F16" s="40" t="n">
        <x:f aca="0">IF(AND(ISNUMBER(D16),ISNUMBER(E16)),D16-E16,"NV")</x:f>
        <x:v>0</x:v>
      </x:c>
      <x:c r="G16" s="44" t="n">
        <x:f aca="0">IF(ISNUMBER(F16),C16*F16,"NV")</x:f>
        <x:v>0</x:v>
      </x:c>
      <x:c r="H16" s="40" t="str">
        <x:v>Prova de valor (PR2)</x:v>
      </x:c>
      <x:c r="I16" s="36"/>
      <x:c r="J16" s="36"/>
      <x:c r="K16" s="36"/>
      <x:c r="L16" s="36"/>
    </x:row>
    <x:row r="17" ht="70" hidden="0" customHeight="1">
      <x:c r="A17" s="39" t="str">
        <x:f aca="0"/>
        <x:v>F2</x:v>
      </x:c>
      <x:c r="B17" s="39" t="str">
        <x:f aca="0"/>
        <x:v>Relacionamento e continuidade</x:v>
      </x:c>
      <x:c r="C17" s="42" t="n">
        <x:f aca="0"/>
        <x:v>0.15</x:v>
      </x:c>
      <x:c r="D17" s="39" t="n">
        <x:f aca="0">D6</x:f>
        <x:v>4</x:v>
      </x:c>
      <x:c r="E17" s="39" t="str">
        <x:f aca="0">IF(COUNT(F6,H6,J6)=0,"NV",MAX(F6,H6,J6))</x:f>
        <x:v>NV</x:v>
      </x:c>
      <x:c r="F17" s="39" t="str">
        <x:f aca="0">IF(AND(ISNUMBER(D17),ISNUMBER(E17)),D17-E17,"NV")</x:f>
        <x:v>NV</x:v>
      </x:c>
      <x:c r="G17" s="45" t="str">
        <x:f aca="0">IF(ISNUMBER(F17),C17*F17,"NV")</x:f>
        <x:v>NV</x:v>
      </x:c>
      <x:c r="H17" s="39" t="str">
        <x:v>Proteger continuidade (PR3)</x:v>
      </x:c>
      <x:c r="I17" s="36"/>
      <x:c r="J17" s="36"/>
      <x:c r="K17" s="36"/>
      <x:c r="L17" s="36"/>
    </x:row>
    <x:row r="18" ht="70" hidden="0" customHeight="1">
      <x:c r="A18" s="40" t="str">
        <x:f aca="0"/>
        <x:v>F3</x:v>
      </x:c>
      <x:c r="B18" s="40" t="str">
        <x:f aca="0"/>
        <x:v>Governança de dados e IA</x:v>
      </x:c>
      <x:c r="C18" s="41" t="n">
        <x:f aca="0"/>
        <x:v>0.15</x:v>
      </x:c>
      <x:c r="D18" s="40" t="n">
        <x:f aca="0">D7</x:f>
        <x:v>3</x:v>
      </x:c>
      <x:c r="E18" s="40" t="n">
        <x:f aca="0">IF(COUNT(F7,H7,J7)=0,"NV",MAX(F7,H7,J7))</x:f>
        <x:v>4</x:v>
      </x:c>
      <x:c r="F18" s="40" t="n">
        <x:f aca="0">IF(AND(ISNUMBER(D18),ISNUMBER(E18)),D18-E18,"NV")</x:f>
        <x:v>-1</x:v>
      </x:c>
      <x:c r="G18" s="44" t="n">
        <x:f aca="0">IF(ISNUMBER(F18),C18*F18,"NV")</x:f>
        <x:v>-0.15</x:v>
      </x:c>
      <x:c r="H18" s="40" t="str">
        <x:v>Delimitar oferta (PR1)</x:v>
      </x:c>
      <x:c r="I18" s="36"/>
      <x:c r="J18" s="36"/>
      <x:c r="K18" s="36"/>
      <x:c r="L18" s="36"/>
    </x:row>
    <x:row r="19" ht="70" hidden="0" customHeight="1">
      <x:c r="A19" s="39" t="str">
        <x:f aca="0"/>
        <x:v>F4</x:v>
      </x:c>
      <x:c r="B19" s="39" t="str">
        <x:f aca="0"/>
        <x:v>Portfólio integrado</x:v>
      </x:c>
      <x:c r="C19" s="42" t="n">
        <x:f aca="0"/>
        <x:v>0.12</x:v>
      </x:c>
      <x:c r="D19" s="39" t="n">
        <x:f aca="0">D8</x:f>
        <x:v>5</x:v>
      </x:c>
      <x:c r="E19" s="39" t="n">
        <x:f aca="0">IF(COUNT(F8,H8,J8)=0,"NV",MAX(F8,H8,J8))</x:f>
        <x:v>5</x:v>
      </x:c>
      <x:c r="F19" s="39" t="n">
        <x:f aca="0">IF(AND(ISNUMBER(D19),ISNUMBER(E19)),D19-E19,"NV")</x:f>
        <x:v>0</x:v>
      </x:c>
      <x:c r="G19" s="45" t="n">
        <x:f aca="0">IF(ISNUMBER(F19),C19*F19,"NV")</x:f>
        <x:v>0</x:v>
      </x:c>
      <x:c r="H19" s="39" t="str">
        <x:v>Comunicar jornada integrada</x:v>
      </x:c>
      <x:c r="I19" s="36"/>
      <x:c r="J19" s="36"/>
      <x:c r="K19" s="36"/>
      <x:c r="L19" s="36"/>
    </x:row>
    <x:row r="20" ht="70" hidden="0" customHeight="1">
      <x:c r="A20" s="40" t="str">
        <x:f aca="0"/>
        <x:v>F5</x:v>
      </x:c>
      <x:c r="B20" s="40" t="str">
        <x:f aca="0"/>
        <x:v>Alianças tecnológicas aplicadas</x:v>
      </x:c>
      <x:c r="C20" s="41" t="n">
        <x:f aca="0"/>
        <x:v>0.1</x:v>
      </x:c>
      <x:c r="D20" s="40" t="n">
        <x:f aca="0">D9</x:f>
        <x:v>4</x:v>
      </x:c>
      <x:c r="E20" s="40" t="n">
        <x:f aca="0">IF(COUNT(F9,H9,J9)=0,"NV",MAX(F9,H9,J9))</x:f>
        <x:v>4</x:v>
      </x:c>
      <x:c r="F20" s="40" t="n">
        <x:f aca="0">IF(AND(ISNUMBER(D20),ISNUMBER(E20)),D20-E20,"NV")</x:f>
        <x:v>0</x:v>
      </x:c>
      <x:c r="G20" s="44" t="n">
        <x:f aca="0">IF(ISNUMBER(F20),C20*F20,"NV")</x:f>
        <x:v>0</x:v>
      </x:c>
      <x:c r="H20" s="40" t="str">
        <x:v>Aplicar alianças à demanda</x:v>
      </x:c>
      <x:c r="I20" s="36"/>
      <x:c r="J20" s="36"/>
      <x:c r="K20" s="36"/>
      <x:c r="L20" s="36"/>
    </x:row>
    <x:row r="21" ht="70" hidden="0" customHeight="1">
      <x:c r="A21" s="39" t="str">
        <x:f aca="0"/>
        <x:v>F6</x:v>
      </x:c>
      <x:c r="B21" s="39" t="str">
        <x:f aca="0"/>
        <x:v>Capacidade disponível para entrega no Brasil</x:v>
      </x:c>
      <x:c r="C21" s="42" t="n">
        <x:f aca="0"/>
        <x:v>0.13</x:v>
      </x:c>
      <x:c r="D21" s="39" t="str">
        <x:f aca="0">D10</x:f>
        <x:v>NV</x:v>
      </x:c>
      <x:c r="E21" s="39" t="str">
        <x:f aca="0">IF(COUNT(F10,H10,J10)=0,"NV",MAX(F10,H10,J10))</x:f>
        <x:v>NV</x:v>
      </x:c>
      <x:c r="F21" s="39" t="str">
        <x:f aca="0">IF(AND(ISNUMBER(D21),ISNUMBER(E21)),D21-E21,"NV")</x:f>
        <x:v>NV</x:v>
      </x:c>
      <x:c r="G21" s="45" t="str">
        <x:f aca="0">IF(ISNUMBER(F21),C21*F21,"NV")</x:f>
        <x:v>NV</x:v>
      </x:c>
      <x:c r="H21" s="39" t="str">
        <x:v>Medir disponibilidade (PR4)</x:v>
      </x:c>
      <x:c r="I21" s="36"/>
      <x:c r="J21" s="36"/>
      <x:c r="K21" s="36"/>
      <x:c r="L21" s="36"/>
    </x:row>
    <x:row r="22" ht="70" hidden="0" customHeight="1">
      <x:c r="A22" s="40" t="str">
        <x:f aca="0"/>
        <x:v>F7</x:v>
      </x:c>
      <x:c r="B22" s="40" t="str">
        <x:f aca="0"/>
        <x:v>Flexibilidade de contratação</x:v>
      </x:c>
      <x:c r="C22" s="41" t="n">
        <x:f aca="0"/>
        <x:v>0.1</x:v>
      </x:c>
      <x:c r="D22" s="40" t="n">
        <x:f aca="0">D11</x:f>
        <x:v>4</x:v>
      </x:c>
      <x:c r="E22" s="40" t="str">
        <x:f aca="0">IF(COUNT(F11,H11,J11)=0,"NV",MAX(F11,H11,J11))</x:f>
        <x:v>NV</x:v>
      </x:c>
      <x:c r="F22" s="40" t="str">
        <x:f aca="0">IF(AND(ISNUMBER(D22),ISNUMBER(E22)),D22-E22,"NV")</x:f>
        <x:v>NV</x:v>
      </x:c>
      <x:c r="G22" s="44" t="str">
        <x:f aca="0">IF(ISNUMBER(F22),C22*F22,"NV")</x:f>
        <x:v>NV</x:v>
      </x:c>
      <x:c r="H22" s="40" t="str">
        <x:v>Preservar flexibilidade</x:v>
      </x:c>
      <x:c r="I22" s="36"/>
      <x:c r="J22" s="36"/>
      <x:c r="K22" s="36"/>
      <x:c r="L22" s="36"/>
    </x:row>
    <x:row r="23" ht="70" hidden="0" customHeight="1">
      <x:c r="A23" s="39" t="str">
        <x:f aca="0"/>
        <x:v>F8</x:v>
      </x:c>
      <x:c r="B23" s="39" t="str">
        <x:f aca="0"/>
        <x:v>Inovação aplicada e produtização</x:v>
      </x:c>
      <x:c r="C23" s="42" t="n">
        <x:f aca="0"/>
        <x:v>0.1</x:v>
      </x:c>
      <x:c r="D23" s="39" t="n">
        <x:f aca="0">D12</x:f>
        <x:v>3</x:v>
      </x:c>
      <x:c r="E23" s="39" t="n">
        <x:f aca="0">IF(COUNT(F12,H12,J12)=0,"NV",MAX(F12,H12,J12))</x:f>
        <x:v>4</x:v>
      </x:c>
      <x:c r="F23" s="39" t="n">
        <x:f aca="0">IF(AND(ISNUMBER(D23),ISNUMBER(E23)),D23-E23,"NV")</x:f>
        <x:v>-1</x:v>
      </x:c>
      <x:c r="G23" s="45" t="n">
        <x:f aca="0">IF(ISNUMBER(F23),C23*F23,"NV")</x:f>
        <x:v>-0.1</x:v>
      </x:c>
      <x:c r="H23" s="39" t="str">
        <x:v>Validar produto (PR1)</x:v>
      </x:c>
      <x:c r="I23" s="36"/>
      <x:c r="J23" s="36"/>
      <x:c r="K23" s="36"/>
      <x:c r="L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36" customHeight="1">
      <x:c r="A25" s="38" t="str">
        <x:v>Empresa</x:v>
      </x:c>
      <x:c r="B25" s="38" t="str">
        <x:v>Peso avaliado</x:v>
      </x:c>
      <x:c r="C25" s="38" t="str">
        <x:v>Soma avaliada</x:v>
      </x:c>
      <x:c r="D25" s="38" t="str">
        <x:v>Limite inferior</x:v>
      </x:c>
      <x:c r="E25" s="38" t="str">
        <x:v>Limite superior</x:v>
      </x:c>
      <x:c r="F25" s="36"/>
      <x:c r="G25" s="36"/>
      <x:c r="H25" s="36"/>
      <x:c r="I25" s="36"/>
      <x:c r="J25" s="36"/>
      <x:c r="K25" s="36"/>
      <x:c r="L25" s="36"/>
    </x:row>
    <x:row r="26" ht="70" customHeight="1">
      <x:c r="A26" s="40" t="str">
        <x:v>QSOFT</x:v>
      </x:c>
      <x:c r="B26" s="41" t="n">
        <x:f>SUMIF(D5:D12,"&gt;=1",$C$5:$C$12)</x:f>
        <x:v>0.8699999999999999</x:v>
      </x:c>
      <x:c r="C26" s="44" t="n">
        <x:f>SUM(E5:E12)</x:f>
        <x:v>3.3499999999999996</x:v>
      </x:c>
      <x:c r="D26" s="44" t="n">
        <x:f>C26+(1-B26)</x:f>
        <x:v>3.4799999999999995</x:v>
      </x:c>
      <x:c r="E26" s="44" t="n">
        <x:f>C26+5*(1-B26)</x:f>
        <x:v>4</x:v>
      </x:c>
      <x:c r="F26" s="36"/>
      <x:c r="G26" s="36"/>
      <x:c r="H26" s="36"/>
      <x:c r="I26" s="36"/>
      <x:c r="J26" s="36"/>
      <x:c r="K26" s="36"/>
      <x:c r="L26" s="36"/>
    </x:row>
    <x:row r="27" ht="70" customHeight="1">
      <x:c r="A27" s="39" t="str">
        <x:v>RED</x:v>
      </x:c>
      <x:c r="B27" s="42" t="n">
        <x:f>SUMIF(F5:F12,"&gt;=1",$C$5:$C$12)</x:f>
        <x:v>0.37</x:v>
      </x:c>
      <x:c r="C27" s="45" t="n">
        <x:f>SUM(G5:G12)</x:f>
        <x:v>1.23</x:v>
      </x:c>
      <x:c r="D27" s="45" t="n">
        <x:f>C27+(1-B27)</x:f>
        <x:v>1.8599999999999999</x:v>
      </x:c>
      <x:c r="E27" s="45" t="n">
        <x:f>C27+5*(1-B27)</x:f>
        <x:v>4.38</x:v>
      </x:c>
      <x:c r="F27" s="36"/>
      <x:c r="G27" s="36"/>
      <x:c r="H27" s="36"/>
      <x:c r="I27" s="36"/>
      <x:c r="J27" s="36"/>
      <x:c r="K27" s="36"/>
      <x:c r="L27" s="36"/>
    </x:row>
    <x:row r="28" ht="70" customHeight="1">
      <x:c r="A28" s="40" t="str">
        <x:v>Indicium</x:v>
      </x:c>
      <x:c r="B28" s="41" t="n">
        <x:f>SUMIF(H5:H12,"&gt;=1",$C$5:$C$12)</x:f>
        <x:v>0.62</x:v>
      </x:c>
      <x:c r="C28" s="44" t="n">
        <x:f>SUM(I5:I12)</x:f>
        <x:v>2.5999999999999996</x:v>
      </x:c>
      <x:c r="D28" s="44" t="n">
        <x:f>C28+(1-B28)</x:f>
        <x:v>2.9799999999999995</x:v>
      </x:c>
      <x:c r="E28" s="44" t="n">
        <x:f>C28+5*(1-B28)</x:f>
        <x:v>4.5</x:v>
      </x:c>
      <x:c r="F28" s="36"/>
      <x:c r="G28" s="36"/>
      <x:c r="H28" s="36"/>
      <x:c r="I28" s="36"/>
      <x:c r="J28" s="36"/>
      <x:c r="K28" s="36"/>
      <x:c r="L28" s="36"/>
    </x:row>
    <x:row r="29" ht="70" customHeight="1">
      <x:c r="A29" s="39" t="str">
        <x:v>Keyrus</x:v>
      </x:c>
      <x:c r="B29" s="42" t="n">
        <x:f>SUMIF(J5:J12,"&gt;=1",$C$5:$C$12)</x:f>
        <x:v>0.62</x:v>
      </x:c>
      <x:c r="C29" s="45" t="n">
        <x:f>SUM(K5:K12)</x:f>
        <x:v>2.5999999999999996</x:v>
      </x:c>
      <x:c r="D29" s="45" t="n">
        <x:f>C29+(1-B29)</x:f>
        <x:v>2.9799999999999995</x:v>
      </x:c>
      <x:c r="E29" s="45" t="n">
        <x:f>C29+5*(1-B29)</x:f>
        <x:v>4.5</x:v>
      </x:c>
      <x:c r="F29" s="36"/>
      <x:c r="G29" s="36"/>
      <x:c r="H29" s="36"/>
      <x:c r="I29" s="36"/>
      <x:c r="J29" s="36"/>
      <x:c r="K29" s="36"/>
      <x:c r="L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 ht="60" customHeight="1">
      <x:c r="A31" s="48" t="str">
        <x:v>Ponderado = peso × nota. Total completo só existe se todos os fatores forem pontuados. Os limites inferior/superior atribuem 1/5 apenas às células NV para testar sensibilidade; não são notas imputadas nem intervalos estatísticos. Como as faixas se sobrepõem, não se declara vencedor geral.</x:v>
      </x:c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</x:row>
    <x:row r="32" ht="60" customHeight="1">
      <x:c r="A32" s="48" t="str">
        <x:v>Gap = nota QSOFT − maior nota documentada dos rivais. NV impede cálculo comparável. Igualdade significa mesma faixa da rubrica, não mesma qualidade real. F1 permanece prioridade interna apesar de gap zero: um case não substitui prova padronizada em todo o funil.</x:v>
      </x:c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 ht="36" customHeight="1">
      <x:c r="A34" s="38" t="str">
        <x:v>Fator</x:v>
      </x:c>
      <x:c r="B34" s="38" t="str">
        <x:v>Rubrica observável</x:v>
      </x:c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 ht="180" customHeight="1">
      <x:c r="A35" s="40" t="str">
        <x:v>F1</x:v>
      </x:c>
      <x:c r="B35" s="40" t="str">
        <x:v>1: falhas documentadas; 2: benefício genérico; 3: case qualitativo; 4: resultado quantificado; 5: resultados repetidos com período e validação do cliente. Número de projetos não basta.</x:v>
      </x:c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 ht="180" customHeight="1">
      <x:c r="A36" s="39" t="str">
        <x:v>F2</x:v>
      </x:c>
      <x:c r="B36" s="39" t="str">
        <x:v>1: ruptura recorrente documentada; 2: relação pontual; 3: suporte/renovação documentados; 4: relação plurianual com cliente identificável; 5: retenção de carteira mensurada. Não inferir pelo porte.</x:v>
      </x:c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 ht="180" customHeight="1">
      <x:c r="A37" s="40" t="str">
        <x:v>F3</x:v>
      </x:c>
      <x:c r="B37" s="40" t="str">
        <x:v>1: falha de controle comprovada; 2: prática pontual; 3: governança de dados demonstrada, IA em desenvolvimento; 4: dados e IA com escopo/controles descritos; 5: programa operacional com indicadores verificados.</x:v>
      </x:c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 ht="180" customHeight="1">
      <x:c r="A38" s="39" t="str">
        <x:v>F4</x:v>
      </x:c>
      <x:c r="B38" s="39" t="str">
        <x:v>1 a 5: número de frentes documentadas entre estratégia/projeto, equipe, operação/sustentação, capacitação e soluções/produtos. Frentes relacionadas não são contadas duas vezes.</x:v>
      </x:c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 ht="180" customHeight="1">
      <x:c r="A39" s="40" t="str">
        <x:v>F5</x:v>
      </x:c>
      <x:c r="B39" s="40" t="str">
        <x:v>1: integração problemática comprovada; 2: competência restrita; 3: aplicação de uma plataforma; 4: alianças nomeadas e aplicação em projetos; 5: certificados e metas atuais verificados. Não usar contagem global.</x:v>
      </x:c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 ht="180" customHeight="1">
      <x:c r="A40" s="39" t="str">
        <x:v>F6</x:v>
      </x:c>
      <x:c r="B40" s="39" t="str">
        <x:v>1: atraso/capacidade insuficiente comprovados; 2: disponibilidade muito restrita; 3: disponibilidade atual compatível; 4: expansão comprovada com SLA; 5: escala local com resultados consistentes. Sem disponibilidade/SLA: NV.</x:v>
      </x:c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 ht="180" customHeight="1">
      <x:c r="A41" s="40" t="str">
        <x:v>F7</x:v>
      </x:c>
      <x:c r="B41" s="40" t="str">
        <x:v>1: rigidez impeditiva comprovada; 2: condição única; 3: duas modalidades; 4: pacotes/escopo adaptáveis documentados; 5: flexibilidade e vantagem econômica em propostas equivalentes. Preço/hora isolado não mede custo-benefício.</x:v>
      </x:c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 ht="180" customHeight="1">
      <x:c r="A42" s="39" t="str">
        <x:v>F8</x:v>
      </x:c>
      <x:c r="B42" s="39" t="str">
        <x:v>1: solução obsoleta documentada; 2: piloto; 3: aplicação customizada/produto em concepção; 4: acelerador/framework reutilizável em entrega; 5: adoção e resultados repetidos mensurados.</x:v>
      </x:c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 ht="65" customHeight="1">
      <x:c r="A44" s="48" t="str">
        <x:v>A CPM apresenta informação incompleta e não sustenta ranking geral. A QSOFT tem relacionamento plurianual e referência em saúde documentados, mas precisa delimitar a oferta de governança do uso de IA e sistematizar prova de valor. Indicium e Keyrus já descrevem ofertas nessa frente. A direção recomendada é validar uma proposta específica para saúde na base atual.</x:v>
      </x:c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</x:row>
  </x:sheetData>
  <x:mergeCells>
    <x:mergeCell ref="A1:L1"/>
    <x:mergeCell ref="A2:L2"/>
    <x:mergeCell ref="A31:L31"/>
    <x:mergeCell ref="A32:L32"/>
    <x:mergeCell ref="A44:L44"/>
  </x:mergeCells>
  <x:conditionalFormatting sqref="F16:G23">
    <x:cfRule type="cellIs" dxfId="0" priority="2" aboveAverage="0" percent="0" bottom="0" operator="lessThan" rank="0" equalAverage="0">
      <x:formula>0</x:formula>
    </x:cfRule>
    <x:cfRule type="cellIs" dxfId="1" priority="3" aboveAverage="0" percent="0" bottom="0" operator="greaterThan" rank="0" equalAverage="0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30" hidden="0" customWidth="1"/>
    <x:col min="3" max="3" width="75" hidden="0" customWidth="1"/>
    <x:col min="4" max="4" width="15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10" width="36" hidden="0" customWidth="1"/>
    <x:col min="9" max="9" width="47" hidden="0" customWidth="1"/>
    <x:col min="10" max="10" width="46" hidden="0" customWidth="1"/>
  </x:cols>
  <x:sheetData>
    <x:row r="1" ht="34" hidden="0" customHeight="1">
      <x:c r="A1" s="31" t="s">
        <x:v>3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2" ht="66" hidden="0" customHeight="1">
      <x:c r="A2" s="33" t="str">
        <x:v>Prioridade = intensidade × peso; pressão ponderada varia de 1 a 5. Rivalidade 30% e compradores 25% afetam preço e entrada; fornecedores 18% afetam acesso a conhecimento e tecnologia; entrantes 15% e substitutos 12% pressionam etapas padronizadas. Intensidades: 1 baixa, 2 moderada-baixa, 3 média, 4 médio-alta, 5 alta. As notas refletem os fatores da tabela, não rentabilidade medida.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4" ht="36" hidden="0" customHeight="1">
      <x:c r="A4" s="38" t="str">
        <x:v>Cód.</x:v>
      </x:c>
      <x:c r="B4" s="38" t="str">
        <x:v>Força</x:v>
      </x:c>
      <x:c r="C4" s="38" t="str">
        <x:v>Evidências / fatores</x:v>
      </x:c>
      <x:c r="D4" s="38" t="str">
        <x:v>Intensidade</x:v>
      </x:c>
      <x:c r="E4" s="38" t="str">
        <x:v>Nota 1–5</x:v>
      </x:c>
      <x:c r="F4" s="38" t="str">
        <x:v>Peso</x:v>
      </x:c>
      <x:c r="G4" s="38" t="str">
        <x:v>Prioridade</x:v>
      </x:c>
      <x:c r="H4" s="38" t="str">
        <x:v>Ranking</x:v>
      </x:c>
      <x:c r="I4" s="38" t="str">
        <x:v>Impacto competitivo</x:v>
      </x:c>
      <x:c r="J4" s="38" t="str">
        <x:v>Recomendação</x:v>
      </x:c>
    </x:row>
    <x:row r="5" ht="110" hidden="0" customHeight="1">
      <x:c r="A5" s="40" t="str">
        <x:v>FP1</x:v>
      </x:c>
      <x:c r="B5" s="40" t="str">
        <x:v>Rivalidade entre concorrentes</x:v>
      </x:c>
      <x:c r="C5" s="40" t="str">
        <x:v>Q03/Q05/Q06 e E14–E21: concorrentes por unidade de negócio, ofertas sobrepostas e objeções de preço relatadas; permanência estimada de 8–10 anos atenua a pressão na base.</x:v>
      </x:c>
      <x:c r="D5" s="40" t="str">
        <x:v>Alta</x:v>
      </x:c>
      <x:c r="E5" s="40" t="n">
        <x:v>5</x:v>
      </x:c>
      <x:c r="F5" s="41" t="n">
        <x:v>0.3</x:v>
      </x:c>
      <x:c r="G5" s="44" t="n">
        <x:f aca="0">E5*F5</x:f>
        <x:v>1.5</x:v>
      </x:c>
      <x:c r="H5" s="40" t="n">
        <x:f aca="0">RANK(G5,$G$5:$G$9,0)</x:f>
        <x:v>1</x:v>
      </x:c>
      <x:c r="I5" s="40" t="str">
        <x:v>Pressão sobre preço e diferenciação; propostas genéricas viram leilão.</x:v>
      </x:c>
      <x:c r="J5" s="40" t="str">
        <x:v>Diferenciar por conhecimento do cliente, integração e resultado comprovado.</x:v>
      </x:c>
    </x:row>
    <x:row r="6" ht="110" hidden="0" customHeight="1">
      <x:c r="A6" s="39" t="str">
        <x:v>FP2</x:v>
      </x:c>
      <x:c r="B6" s="39" t="str">
        <x:v>Poder dos compradores</x:v>
      </x:c>
      <x:c r="C6" s="39" t="str">
        <x:v>Q03/Q05: vários decisores, negociação e exigência de ROI. Conhecimento acumulado e dependências técnicas podem elevar custos de troca, sem medida comparável.</x:v>
      </x:c>
      <x:c r="D6" s="39" t="str">
        <x:v>Médio-alto</x:v>
      </x:c>
      <x:c r="E6" s="39" t="n">
        <x:v>4</x:v>
      </x:c>
      <x:c r="F6" s="42" t="n">
        <x:v>0.25</x:v>
      </x:c>
      <x:c r="G6" s="45" t="n">
        <x:f aca="0">E6*F6</x:f>
        <x:v>1</x:v>
      </x:c>
      <x:c r="H6" s="39" t="n">
        <x:f aca="0">RANK(G6,$G$5:$G$9,0)</x:f>
        <x:v>2</x:v>
      </x:c>
      <x:c r="I6" s="39" t="str">
        <x:v>Negociação e ciclo longo; a continuidade pode reduzir a pressão depois da entrada, hipótese a validar.</x:v>
      </x:c>
      <x:c r="J6" s="39" t="str">
        <x:v>Provas por papel e expansão dentro da conta.</x:v>
      </x:c>
    </x:row>
    <x:row r="7" ht="110" hidden="0" customHeight="1">
      <x:c r="A7" s="40" t="str">
        <x:v>FP3</x:v>
      </x:c>
      <x:c r="B7" s="40" t="str">
        <x:v>Poder dos fornecedores</x:v>
      </x:c>
      <x:c r="C7" s="40" t="str">
        <x:v>Q02/Q06: conhecimento especializado, certificações e plataformas; substituição exige capacitação e integração. Folha interna é estrutura de custo, não fornecedor externo.</x:v>
      </x:c>
      <x:c r="D7" s="40" t="str">
        <x:v>Médio</x:v>
      </x:c>
      <x:c r="E7" s="40" t="n">
        <x:v>3</x:v>
      </x:c>
      <x:c r="F7" s="41" t="n">
        <x:v>0.18</x:v>
      </x:c>
      <x:c r="G7" s="44" t="n">
        <x:f aca="0">E7*F7</x:f>
        <x:v>0.54</x:v>
      </x:c>
      <x:c r="H7" s="40" t="n">
        <x:f aca="0">RANK(G7,$G$5:$G$9,0)</x:f>
        <x:v>3</x:v>
      </x:c>
      <x:c r="I7" s="40" t="str">
        <x:v>Acesso externo a competências e plataformas condiciona execução; folha e agenda são restrições internas relacionadas.</x:v>
      </x:c>
      <x:c r="J7" s="40" t="str">
        <x:v>Marca empregadora e parcerias seletivas.</x:v>
      </x:c>
    </x:row>
    <x:row r="8" ht="110" hidden="0" customHeight="1">
      <x:c r="A8" s="39" t="str">
        <x:v>FP4</x:v>
      </x:c>
      <x:c r="B8" s="39" t="str">
        <x:v>Ameaça de novos entrantes</x:v>
      </x:c>
      <x:c r="C8" s="39" t="str">
        <x:v>Q05 e E14–E21: tecnologias amplamente disponíveis; referências, qualificação e ciclo de venda relatado de cerca de seis meses dificultam entrada. Barreiras não quantificadas.</x:v>
      </x:c>
      <x:c r="D8" s="39" t="str">
        <x:v>Média</x:v>
      </x:c>
      <x:c r="E8" s="39" t="n">
        <x:v>3</x:v>
      </x:c>
      <x:c r="F8" s="42" t="n">
        <x:v>0.15</x:v>
      </x:c>
      <x:c r="G8" s="45" t="n">
        <x:f aca="0">E8*F8</x:f>
        <x:v>0.44999999999999996</x:v>
      </x:c>
      <x:c r="H8" s="39" t="n">
        <x:f aca="0">RANK(G8,$G$5:$G$9,0)</x:f>
        <x:v>4</x:v>
      </x:c>
      <x:c r="I8" s="39" t="str">
        <x:v>Pressão em serviços padronizados (dashboards, treinamentos simples).</x:v>
      </x:c>
      <x:c r="J8" s="39" t="str">
        <x:v>Proteger cases, método e relacionamento.</x:v>
      </x:c>
    </x:row>
    <x:row r="9" ht="110" hidden="0" customHeight="1">
      <x:c r="A9" s="40" t="str">
        <x:v>FP5</x:v>
      </x:c>
      <x:c r="B9" s="40" t="str">
        <x:v>Ameaça de substitutos</x:v>
      </x:c>
      <x:c r="C9" s="40" t="str">
        <x:v>Q06/entrevista: equipe interna, open source, IA embarcada, BI self-service e cursos online podem substituir etapas simples, sem equivalência para projetos complexos.</x:v>
      </x:c>
      <x:c r="D9" s="40" t="str">
        <x:v>Média</x:v>
      </x:c>
      <x:c r="E9" s="40" t="n">
        <x:v>3</x:v>
      </x:c>
      <x:c r="F9" s="41" t="n">
        <x:v>0.12</x:v>
      </x:c>
      <x:c r="G9" s="44" t="n">
        <x:f aca="0">E9*F9</x:f>
        <x:v>0.36</x:v>
      </x:c>
      <x:c r="H9" s="40" t="n">
        <x:f aca="0">RANK(G9,$G$5:$G$9,0)</x:f>
        <x:v>5</x:v>
      </x:c>
      <x:c r="I9" s="40" t="str">
        <x:v>Compressão de serviços simples e de treinamentos pontuais.</x:v>
      </x:c>
      <x:c r="J9" s="40" t="str">
        <x:v>Focar integração e governança complexas.</x:v>
      </x:c>
    </x:row>
    <x:row r="10" ht="70" hidden="0" customHeight="1">
      <x:c r="A10" s="36"/>
      <x:c r="B10" s="36" t="str">
        <x:v>Pressão total</x:v>
      </x:c>
      <x:c r="C10" s="36"/>
      <x:c r="D10" s="36"/>
      <x:c r="E10" s="36"/>
      <x:c r="F10" s="43" t="n">
        <x:f aca="0">SUM(F5:F9)</x:f>
        <x:v>1</x:v>
      </x:c>
      <x:c r="G10" s="46" t="n">
        <x:f aca="0">SUM(G5:G9)</x:f>
        <x:v>3.85</x:v>
      </x:c>
      <x:c r="H10" s="36"/>
      <x:c r="I10" s="36"/>
      <x:c r="J10" s="36"/>
    </x:row>
    <x:row r="11" ht="70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</x:row>
    <x:row r="12" ht="65" customHeight="1">
      <x:c r="A12" s="48" t="str">
        <x:v>Atratividade. A pressão ponderada é 3,85/5, sob os julgamentos adotados. O mercado pode ser atrativo para uma oferta específica com prova e continuidade, mas não há margem setorial mensurada. Q05 atribui retenção ao conhecimento acumulado; dependências técnicas também podem existir e não foram medidas. A defesa consiste em entrada fundamentada e gestão da relação.</x:v>
      </x:c>
      <x:c r="B12" s="48"/>
      <x:c r="C12" s="48"/>
      <x:c r="D12" s="48"/>
      <x:c r="E12" s="48"/>
      <x:c r="F12" s="48"/>
      <x:c r="G12" s="48"/>
      <x:c r="H12" s="48"/>
      <x:c r="I12" s="48"/>
      <x:c r="J12" s="48"/>
    </x:row>
    <x:row r="13" ht="65" customHeight="1">
      <x:c r="A13" s="48" t="str">
        <x:v>Notas: FP1=5 pela sobreposição e disputa relatada; FP2=4 pela negociação e ROI, atenuados por continuidade; FP3=3 pela dependência tecnológica e de competências com alternativas; FP4=3 por acesso técnico com barreiras de confiança; FP5=3 pela substituição de etapas simples. Julgamento estrutural, sem margem setorial medida.</x:v>
      </x:c>
      <x:c r="B13" s="48"/>
      <x:c r="C13" s="48"/>
      <x:c r="D13" s="48"/>
      <x:c r="E13" s="48"/>
      <x:c r="F13" s="48"/>
      <x:c r="G13" s="48"/>
      <x:c r="H13" s="48"/>
      <x:c r="I13" s="48"/>
      <x:c r="J13" s="48"/>
    </x:row>
    <x:row r="14" ht="70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 ht="70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 ht="70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</x:row>
    <x:row r="17" ht="70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</x:row>
    <x:row r="18" ht="70" customHeight="1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</x:row>
    <x:row r="19" ht="70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</x:row>
    <x:row r="20" ht="70" customHeight="1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</x:row>
    <x:row r="21" ht="70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</x:row>
    <x:row r="22" ht="70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</x:row>
    <x:row r="23" ht="7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</x:row>
    <x:row r="25" ht="7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</x:row>
    <x:row r="26" ht="7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</x:row>
    <x:row r="27" ht="7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</x:row>
    <x:row r="28" ht="7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</x:row>
    <x:row r="29" ht="70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</x:row>
    <x:row r="32" ht="70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</x:row>
  </x:sheetData>
  <x:mergeCells>
    <x:mergeCell ref="A1:J1"/>
    <x:mergeCell ref="A2:J2"/>
    <x:mergeCell ref="A12:J12"/>
    <x:mergeCell ref="A13:J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28" hidden="0" customWidth="1"/>
    <x:col min="3" max="3" width="55" hidden="0" customWidth="1"/>
    <x:col min="4" max="4" width="13" hidden="0" customWidth="1"/>
    <x:col min="5" max="5" width="10" hidden="0" customWidth="1"/>
    <x:col min="6" max="6" width="11" hidden="0" customWidth="1"/>
    <x:col min="7" max="7" width="11" hidden="0" customWidth="1"/>
    <x:col min="8" max="8" width="10" hidden="0" customWidth="1"/>
    <x:col min="9" max="9" width="13" hidden="0" customWidth="1"/>
    <x:col min="10" max="10" width="13" hidden="0" customWidth="1"/>
    <x:col min="11" max="11" width="45" hidden="0" customWidth="1"/>
  </x:cols>
  <x:sheetData>
    <x:row r="1" ht="34" hidden="0" customHeight="1">
      <x:c r="A1" s="31" t="s">
        <x:v>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66" hidden="0" customHeight="1">
      <x:c r="A2" s="33" t="str">
        <x:v>Gap = MAX(0, desempenho esperado − atual); prioridade corretiva = peso × gap. Esperado e atual são avaliações exploratórias do grupo: 1=incipiente, 2=pontual, 3=parcial, 4=consistente no relato, 5=sistematizado e mensurado. Não são resultados de pesquisa com clientes. C1/C3 têm meta 5 por exigirem métricas e controles; demais meta 4. Importância é separada do desempenho. Pesos 25/20/18% destacam resultado, confiança e segurança; 15/12/10% cobrem decisão, contratação e capacitação.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55"/>
    </x:row>
    <x:row r="4" ht="36" hidden="0" customHeight="1">
      <x:c r="A4" s="38" t="str">
        <x:v>Cód.</x:v>
      </x:c>
      <x:c r="B4" s="38" t="str">
        <x:v>Insight</x:v>
      </x:c>
      <x:c r="C4" s="38" t="str">
        <x:v>Evidência</x:v>
      </x:c>
      <x:c r="D4" s="38" t="str">
        <x:v>Importância</x:v>
      </x:c>
      <x:c r="E4" s="38" t="str">
        <x:v>Peso</x:v>
      </x:c>
      <x:c r="F4" s="38" t="str">
        <x:v>Esperado</x:v>
      </x:c>
      <x:c r="G4" s="38" t="str">
        <x:v>Atual</x:v>
      </x:c>
      <x:c r="H4" s="38" t="str">
        <x:v>Gap</x:v>
      </x:c>
      <x:c r="I4" s="38" t="str">
        <x:v>Prioridade</x:v>
      </x:c>
      <x:c r="J4" s="38" t="str">
        <x:v>Situação</x:v>
      </x:c>
      <x:c r="K4" s="38" t="str">
        <x:v>Recomendação</x:v>
      </x:c>
    </x:row>
    <x:row r="5" ht="70" hidden="0" customHeight="1">
      <x:c r="A5" s="40" t="str">
        <x:v>C1</x:v>
      </x:c>
      <x:c r="B5" s="40" t="str">
        <x:v>Resultado e ROI</x:v>
      </x:c>
      <x:c r="C5" s="40" t="str">
        <x:v>Q03/E12: case e dificuldade de ROI</x:v>
      </x:c>
      <x:c r="D5" s="40" t="n">
        <x:v>5</x:v>
      </x:c>
      <x:c r="E5" s="41" t="n">
        <x:v>0.25</x:v>
      </x:c>
      <x:c r="F5" s="40" t="n">
        <x:v>5</x:v>
      </x:c>
      <x:c r="G5" s="40" t="n">
        <x:f aca="0"/>
        <x:v>3</x:v>
      </x:c>
      <x:c r="H5" s="40" t="n">
        <x:f aca="0">MAX(0,F5-G5)</x:f>
        <x:v>2</x:v>
      </x:c>
      <x:c r="I5" s="44" t="n">
        <x:f aca="0">E5*H5</x:f>
        <x:v>0.5</x:v>
      </x:c>
      <x:c r="J5" s="40" t="str">
        <x:f>IF(H5=0,"Proteger","Corrigir")</x:f>
        <x:v>Corrigir</x:v>
      </x:c>
      <x:c r="K5" s="40" t="str">
        <x:v>Padronizar linha de base e benefícios</x:v>
      </x:c>
    </x:row>
    <x:row r="6" ht="70" hidden="0" customHeight="1">
      <x:c r="A6" s="39" t="str">
        <x:v>C2</x:v>
      </x:c>
      <x:c r="B6" s="39" t="str">
        <x:v>Confiança e continuidade</x:v>
      </x:c>
      <x:c r="C6" s="39" t="str">
        <x:v>Q05/E12: vínculo plurianual</x:v>
      </x:c>
      <x:c r="D6" s="39" t="n">
        <x:v>5</x:v>
      </x:c>
      <x:c r="E6" s="42" t="n">
        <x:v>0.2</x:v>
      </x:c>
      <x:c r="F6" s="39" t="n">
        <x:v>4</x:v>
      </x:c>
      <x:c r="G6" s="39" t="n">
        <x:f aca="0"/>
        <x:v>4</x:v>
      </x:c>
      <x:c r="H6" s="39" t="n">
        <x:f aca="0">MAX(0,F6-G6)</x:f>
        <x:v>0</x:v>
      </x:c>
      <x:c r="I6" s="45" t="n">
        <x:f aca="0">E6*H6</x:f>
        <x:v>0</x:v>
      </x:c>
      <x:c r="J6" s="39" t="str">
        <x:f>IF(H6=0,"Proteger","Corrigir")</x:f>
        <x:v>Proteger</x:v>
      </x:c>
      <x:c r="K6" s="39" t="str">
        <x:v>Proteger gestão de contas</x:v>
      </x:c>
    </x:row>
    <x:row r="7" ht="70" hidden="0" customHeight="1">
      <x:c r="A7" s="40" t="str">
        <x:v>C3</x:v>
      </x:c>
      <x:c r="B7" s="40" t="str">
        <x:v>Governança de IA</x:v>
      </x:c>
      <x:c r="C7" s="40" t="str">
        <x:v>Q06/E02: risco residual</x:v>
      </x:c>
      <x:c r="D7" s="40" t="n">
        <x:v>5</x:v>
      </x:c>
      <x:c r="E7" s="41" t="n">
        <x:v>0.18</x:v>
      </x:c>
      <x:c r="F7" s="40" t="n">
        <x:v>5</x:v>
      </x:c>
      <x:c r="G7" s="40" t="n">
        <x:f aca="0"/>
        <x:v>3</x:v>
      </x:c>
      <x:c r="H7" s="40" t="n">
        <x:f aca="0">MAX(0,F7-G7)</x:f>
        <x:v>2</x:v>
      </x:c>
      <x:c r="I7" s="44" t="n">
        <x:f aca="0">E7*H7</x:f>
        <x:v>0.36</x:v>
      </x:c>
      <x:c r="J7" s="40" t="str">
        <x:f>IF(H7=0,"Proteger","Corrigir")</x:f>
        <x:v>Corrigir</x:v>
      </x:c>
      <x:c r="K7" s="40" t="str">
        <x:v>Delimitar controles e indicadores</x:v>
      </x:c>
    </x:row>
    <x:row r="8" ht="70" hidden="0" customHeight="1">
      <x:c r="A8" s="39" t="str">
        <x:v>C4</x:v>
      </x:c>
      <x:c r="B8" s="39" t="str">
        <x:v>Argumentação aos decisores</x:v>
      </x:c>
      <x:c r="C8" s="39" t="str">
        <x:v>Q03/Q05: negócio e TI</x:v>
      </x:c>
      <x:c r="D8" s="39" t="n">
        <x:v>4</x:v>
      </x:c>
      <x:c r="E8" s="42" t="n">
        <x:v>0.15</x:v>
      </x:c>
      <x:c r="F8" s="39" t="n">
        <x:v>4</x:v>
      </x:c>
      <x:c r="G8" s="39" t="n">
        <x:f aca="0"/>
        <x:v>3</x:v>
      </x:c>
      <x:c r="H8" s="39" t="n">
        <x:f aca="0">MAX(0,F8-G8)</x:f>
        <x:v>1</x:v>
      </x:c>
      <x:c r="I8" s="45" t="n">
        <x:f aca="0">E8*H8</x:f>
        <x:v>0.15</x:v>
      </x:c>
      <x:c r="J8" s="39" t="str">
        <x:f>IF(H8=0,"Proteger","Corrigir")</x:f>
        <x:v>Corrigir</x:v>
      </x:c>
      <x:c r="K8" s="39" t="str">
        <x:v>Materiais por decisor</x:v>
      </x:c>
    </x:row>
    <x:row r="9" ht="70" hidden="0" customHeight="1">
      <x:c r="A9" s="40" t="str">
        <x:v>C5</x:v>
      </x:c>
      <x:c r="B9" s="40" t="str">
        <x:v>Flexibilidade</x:v>
      </x:c>
      <x:c r="C9" s="40" t="str">
        <x:v>Q05: pacotes de horas</x:v>
      </x:c>
      <x:c r="D9" s="40" t="n">
        <x:v>4</x:v>
      </x:c>
      <x:c r="E9" s="41" t="n">
        <x:v>0.12</x:v>
      </x:c>
      <x:c r="F9" s="40" t="n">
        <x:v>4</x:v>
      </x:c>
      <x:c r="G9" s="40" t="n">
        <x:f aca="0"/>
        <x:v>4</x:v>
      </x:c>
      <x:c r="H9" s="40" t="n">
        <x:f aca="0">MAX(0,F9-G9)</x:f>
        <x:v>0</x:v>
      </x:c>
      <x:c r="I9" s="44" t="n">
        <x:f aca="0">E9*H9</x:f>
        <x:v>0</x:v>
      </x:c>
      <x:c r="J9" s="40" t="str">
        <x:f>IF(H9=0,"Proteger","Corrigir")</x:f>
        <x:v>Proteger</x:v>
      </x:c>
      <x:c r="K9" s="40" t="str">
        <x:v>Proteger flexibilidade e margem</x:v>
      </x:c>
    </x:row>
    <x:row r="10" ht="70" hidden="0" customHeight="1">
      <x:c r="A10" s="39" t="str">
        <x:v>C6</x:v>
      </x:c>
      <x:c r="B10" s="39" t="str">
        <x:v>Capacitação corporativa</x:v>
      </x:c>
      <x:c r="C10" s="39" t="str">
        <x:v>Q04/Q08: treinamento e trilhas</x:v>
      </x:c>
      <x:c r="D10" s="39" t="n">
        <x:v>4</x:v>
      </x:c>
      <x:c r="E10" s="42" t="n">
        <x:v>0.1</x:v>
      </x:c>
      <x:c r="F10" s="39" t="n">
        <x:v>4</x:v>
      </x:c>
      <x:c r="G10" s="39" t="n">
        <x:f aca="0"/>
        <x:v>3</x:v>
      </x:c>
      <x:c r="H10" s="39" t="n">
        <x:f aca="0">MAX(0,F10-G10)</x:f>
        <x:v>1</x:v>
      </x:c>
      <x:c r="I10" s="45" t="n">
        <x:f aca="0">E10*H10</x:f>
        <x:v>0.1</x:v>
      </x:c>
      <x:c r="J10" s="39" t="str">
        <x:f>IF(H10=0,"Proteger","Corrigir")</x:f>
        <x:v>Corrigir</x:v>
      </x:c>
      <x:c r="K10" s="39" t="str">
        <x:v>Medir conversão e agenda</x:v>
      </x:c>
    </x:row>
    <x:row r="11" ht="70" hidden="0" customHeight="1">
      <x:c r="A11" s="36"/>
      <x:c r="B11" s="36" t="str">
        <x:v>TOTAL</x:v>
      </x:c>
      <x:c r="C11" s="36"/>
      <x:c r="D11" s="36"/>
      <x:c r="E11" s="43" t="n">
        <x:f aca="0">SUM(E5:E10)</x:f>
        <x:v>1</x:v>
      </x:c>
      <x:c r="F11" s="36"/>
      <x:c r="G11" s="36"/>
      <x:c r="H11" s="36"/>
      <x:c r="I11" s="36"/>
      <x:c r="J11" s="36"/>
      <x:c r="K11" s="36"/>
    </x:row>
    <x:row r="12" ht="70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</x:row>
    <x:row r="13" ht="65" customHeight="1">
      <x:c r="A13" s="48" t="str">
        <x:v>Why Not. Q03/Q05 sugerem que parte das objeções de preço decorre de valor pouco demonstrado. Não há registro de frequência para afirmar que preço raramente importa. Incumbência, orçamento, TI e alternativas internas também dificultam a compra. Registrar perdas permitirá distinguir causas e ajustar W2, T1 e a proposta.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</x:row>
    <x:row r="14" ht="65" customHeight="1">
      <x:c r="A14" s="48" t="str">
        <x:v>Valor ao cliente. C1/C3 têm os maiores gaps corretivos (0,50 e 0,36); C2 tem gap zero na meta exploratória e precisa de proteção. O relacionamento é documentado, mas não avaliado como perfeição ou superioridade frente aos rivais. Validação com compradores pode alterar notas e prioridades.</x:v>
      </x:c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</x:row>
    <x:row r="15" ht="70" customHeight="1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</x:row>
    <x:row r="16" ht="36" customHeight="1">
      <x:c r="A16" s="38" t="str">
        <x:v>Questão</x:v>
      </x:c>
      <x:c r="B16" s="38" t="str">
        <x:v>Análise</x:v>
      </x:c>
      <x:c r="C16" s="36"/>
      <x:c r="D16" s="36"/>
      <x:c r="E16" s="36"/>
      <x:c r="F16" s="36"/>
      <x:c r="G16" s="36"/>
      <x:c r="H16" s="36"/>
      <x:c r="I16" s="36"/>
      <x:c r="J16" s="36"/>
      <x:c r="K16" s="36"/>
    </x:row>
    <x:row r="17" ht="180" customHeight="1">
      <x:c r="A17" s="40" t="str">
        <x:v>Who — Quem compra?</x:v>
      </x:c>
      <x:c r="B17" s="40" t="str">
        <x:v>Empresas médias e grandes; foco proposto em organizações de saúde com operação de dados complexa, especialmente a base atual. Negócio, TI, finanças e patrocinador participam da decisão (Q01/Q03/Q05).</x:v>
      </x:c>
      <x:c r="C17" s="36"/>
      <x:c r="D17" s="36"/>
      <x:c r="E17" s="36"/>
      <x:c r="F17" s="36"/>
      <x:c r="G17" s="36"/>
      <x:c r="H17" s="36"/>
      <x:c r="I17" s="36"/>
      <x:c r="J17" s="36"/>
      <x:c r="K17" s="36"/>
    </x:row>
    <x:row r="18" ht="180" customHeight="1">
      <x:c r="A18" s="39" t="str">
        <x:v>What — O que compra e que valor busca?</x:v>
      </x:c>
      <x:c r="B18" s="39" t="str">
        <x:v>Alocação de times (maior receita), projetos, sustentação, treinamentos (Tableau como principal; Google Workspace crescendo) e licenças. Busca eficiência, decisão mais rápida, segurança e continuidade.</x:v>
      </x:c>
      <x:c r="C18" s="36"/>
      <x:c r="D18" s="36"/>
      <x:c r="E18" s="36"/>
      <x:c r="F18" s="36"/>
      <x:c r="G18" s="36"/>
      <x:c r="H18" s="36"/>
      <x:c r="I18" s="36"/>
      <x:c r="J18" s="36"/>
      <x:c r="K18" s="36"/>
    </x:row>
    <x:row r="19" ht="180" customHeight="1">
      <x:c r="A19" s="40" t="str">
        <x:v>Why — Por que compra?</x:v>
      </x:c>
      <x:c r="B19" s="40" t="str">
        <x:v>Falta de equipe ou competência interna; modernização (ex.: Unimed saiu do SAS para Databricks e reduziu o fechamento de 25 para 5 dias); necessidade de controlar o uso de IA; capacitação de equipes.</x:v>
      </x:c>
      <x:c r="C19" s="36"/>
      <x:c r="D19" s="36"/>
      <x:c r="E19" s="36"/>
      <x:c r="F19" s="36"/>
      <x:c r="G19" s="36"/>
      <x:c r="H19" s="36"/>
      <x:c r="I19" s="36"/>
      <x:c r="J19" s="36"/>
      <x:c r="K19" s="36"/>
    </x:row>
    <x:row r="20" ht="180" customHeight="1">
      <x:c r="A20" s="39" t="str">
        <x:v>When — Quando compra?</x:v>
      </x:c>
      <x:c r="B20" s="39" t="str">
        <x:v>Em migrações, novas tecnologias, orçamento anual ou dor aguda. Ciclo: alocação ~6 meses (até 2 anos); software e treinamento em 1–2 semanas. Depois da entrada, contratos de 12–36 meses.</x:v>
      </x:c>
      <x:c r="C20" s="36"/>
      <x:c r="D20" s="36"/>
      <x:c r="E20" s="36"/>
      <x:c r="F20" s="36"/>
      <x:c r="G20" s="36"/>
      <x:c r="H20" s="36"/>
      <x:c r="I20" s="36"/>
      <x:c r="J20" s="36"/>
      <x:c r="K20" s="36"/>
    </x:row>
    <x:row r="21" ht="180" customHeight="1">
      <x:c r="A21" s="40" t="str">
        <x:v>Where — Onde compra?</x:v>
      </x:c>
      <x:c r="B21" s="40" t="str">
        <x:v>Site/SEO (principal fonte de contatos), eventos de terceiros patrocinados com ativação, palestras em faculdades, SDR e relacionamento direto da diretoria.</x:v>
      </x:c>
      <x:c r="C21" s="36"/>
      <x:c r="D21" s="36"/>
      <x:c r="E21" s="36"/>
      <x:c r="F21" s="36"/>
      <x:c r="G21" s="36"/>
      <x:c r="H21" s="36"/>
      <x:c r="I21" s="36"/>
      <x:c r="J21" s="36"/>
      <x:c r="K21" s="36"/>
    </x:row>
    <x:row r="22" ht="180" customHeight="1">
      <x:c r="A22" s="39" t="str">
        <x:v>How — Como compra (jornada)?</x:v>
      </x:c>
      <x:c r="B22" s="39" t="str">
        <x:v>Descoberta por site/evento/treinamento; nutrição; reuniões; premissas de valor; proposta; contrato; implantação e expansão por áreas. Q04 estima dois em dez treinamentos como entrada, sem série de conversão.</x:v>
      </x:c>
      <x:c r="C22" s="36"/>
      <x:c r="D22" s="36"/>
      <x:c r="E22" s="36"/>
      <x:c r="F22" s="36"/>
      <x:c r="G22" s="36"/>
      <x:c r="H22" s="36"/>
      <x:c r="I22" s="36"/>
      <x:c r="J22" s="36"/>
      <x:c r="K22" s="36"/>
    </x:row>
    <x:row r="23" ht="180" customHeight="1">
      <x:c r="A23" s="40" t="str">
        <x:v>Why Not — Por que não compra?</x:v>
      </x:c>
      <x:c r="B23" s="40" t="str">
        <x:v>Q03/Q05/Q07: preço/valor percebido, ROI incerto, fornecedor incumbente, TI não convencida, solução interna e referências específicas não demonstradas. Não há frequência mensurada das razões.</x:v>
      </x:c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  <x:row r="25" ht="7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</x:row>
    <x:row r="26" ht="7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</x:row>
    <x:row r="27" ht="7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</x:row>
    <x:row r="28" ht="7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</x:row>
    <x:row r="29" ht="70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</x:row>
    <x:row r="32" ht="70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</x:row>
  </x:sheetData>
  <x:mergeCells>
    <x:mergeCell ref="A1:K1"/>
    <x:mergeCell ref="A2:K2"/>
    <x:mergeCell ref="A13:K13"/>
    <x:mergeCell ref="A14:K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35" hidden="0" customWidth="1"/>
    <x:col min="3" max="3" width="50" hidden="0" customWidth="1"/>
    <x:col min="4" max="4" width="55" hidden="0" customWidth="1"/>
    <x:col min="5" max="5" width="12" hidden="0" customWidth="1"/>
    <x:col min="6" max="6" width="11" hidden="0" customWidth="1"/>
    <x:col min="7" max="7" width="10" hidden="0" customWidth="1"/>
    <x:col min="8" max="9" width="10" hidden="0" customWidth="1"/>
    <x:col min="10" max="10" width="46" hidden="0" customWidth="1"/>
    <x:col min="11" max="11" width="48" hidden="0" customWidth="1"/>
    <x:col min="8" max="8" width="13" hidden="0" customWidth="1"/>
    <x:col min="9" max="9" width="13" hidden="0" customWidth="1"/>
  </x:cols>
  <x:sheetData>
    <x:row r="1" ht="34" hidden="0" customHeight="1">
      <x:c r="A1" s="31" t="s">
        <x:v>5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</x:row>
    <x:row r="2" ht="66" hidden="0" customHeight="1">
      <x:c r="A2" s="33" t="str">
        <x:v>Prioridade da cadeia = peso × média de importância e risco. V1 tem 30% pela criticidade do conhecimento; V2 25% pela integração/arquitetura; V3 20% pelo acesso comercial sem atribuição; V4 15% pelo potencial de entrada; V5 10% pelo alcance complementar. Escalas 1–5 expressam julgamento, com evidências na tabela. Nota alta indica criticidade, não eficácia comprovada.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4" ht="36" hidden="0" customHeight="1">
      <x:c r="A4" s="38" t="str">
        <x:v>Cód.</x:v>
      </x:c>
      <x:c r="B4" s="38" t="str">
        <x:v>Fator / parceiro</x:v>
      </x:c>
      <x:c r="C4" s="38" t="str">
        <x:v>Importância estratégica</x:v>
      </x:c>
      <x:c r="D4" s="38" t="str">
        <x:v>Dependência / risco</x:v>
      </x:c>
      <x:c r="E4" s="38" t="str">
        <x:v>Importância 1–5</x:v>
      </x:c>
      <x:c r="F4" s="38" t="str">
        <x:v>Risco 1–5</x:v>
      </x:c>
      <x:c r="G4" s="38" t="str">
        <x:v>Peso</x:v>
      </x:c>
      <x:c r="H4" s="38" t="str">
        <x:v>Criticidade</x:v>
      </x:c>
      <x:c r="I4" s="38" t="str">
        <x:v>Prioridade</x:v>
      </x:c>
      <x:c r="J4" s="38" t="str">
        <x:v>Implicação</x:v>
      </x:c>
      <x:c r="K4" s="38" t="str">
        <x:v>Recomendação</x:v>
      </x:c>
    </x:row>
    <x:row r="5" ht="95" hidden="0" customHeight="1">
      <x:c r="A5" s="40" t="str">
        <x:v>V1</x:v>
      </x:c>
      <x:c r="B5" s="40" t="str">
        <x:v>Formação e acesso a talentos externos</x:v>
      </x:c>
      <x:c r="C5" s="40" t="str">
        <x:v>Muito alta: sustenta conhecimento e capacidade (5)</x:v>
      </x:c>
      <x:c r="D5" s="40" t="str">
        <x:v>Mercado disputado; formação leva tempo; agenda interna é restrição complementar (5)</x:v>
      </x:c>
      <x:c r="E5" s="40" t="n">
        <x:v>5</x:v>
      </x:c>
      <x:c r="F5" s="40" t="n">
        <x:v>5</x:v>
      </x:c>
      <x:c r="G5" s="41" t="n">
        <x:v>0.3</x:v>
      </x:c>
      <x:c r="H5" s="44" t="n">
        <x:f aca="0">AVERAGE(E5:F5)</x:f>
        <x:v>5</x:v>
      </x:c>
      <x:c r="I5" s="44" t="n">
        <x:f aca="0">G5*H5</x:f>
        <x:v>1.5</x:v>
      </x:c>
      <x:c r="J5" s="40" t="str">
        <x:v>Capacidade limita quanto Marketing pode prometer e vender.</x:v>
      </x:c>
      <x:c r="K5" s="40" t="str">
        <x:v>Marca empregadora; comunicar equipe formada e certificada.</x:v>
      </x:c>
    </x:row>
    <x:row r="6" ht="95" hidden="0" customHeight="1">
      <x:c r="A6" s="39" t="str">
        <x:v>V2</x:v>
      </x:c>
      <x:c r="B6" s="39" t="str">
        <x:v>Plataformas e alianças tecnológicas</x:v>
      </x:c>
      <x:c r="C6" s="39" t="str">
        <x:v>Alta: credibilidade técnica e acesso a inovação (4)</x:v>
      </x:c>
      <x:c r="D6" s="39" t="str">
        <x:v>Certificação, arquitetura, integração e venda direta do fabricante (3)</x:v>
      </x:c>
      <x:c r="E6" s="39" t="n">
        <x:v>4</x:v>
      </x:c>
      <x:c r="F6" s="39" t="n">
        <x:v>3</x:v>
      </x:c>
      <x:c r="G6" s="42" t="n">
        <x:v>0.25</x:v>
      </x:c>
      <x:c r="H6" s="45" t="n">
        <x:f aca="0">AVERAGE(E6:F6)</x:f>
        <x:v>3.5</x:v>
      </x:c>
      <x:c r="I6" s="45" t="n">
        <x:f aca="0">G6*H6</x:f>
        <x:v>0.875</x:v>
      </x:c>
      <x:c r="J6" s="39" t="str">
        <x:v>Parceria é requisito, não diferencial.</x:v>
      </x:c>
      <x:c r="K6" s="39" t="str">
        <x:v>Concentrar parcerias onde há demanda (Databricks, Salesforce, Microsoft, Anthropic).</x:v>
      </x:c>
    </x:row>
    <x:row r="7" ht="95" hidden="0" customHeight="1">
      <x:c r="A7" s="40" t="str">
        <x:v>V3</x:v>
      </x:c>
      <x:c r="B7" s="40" t="str">
        <x:v>Canais próprios de demanda (site/SEO, eventos, SDR)</x:v>
      </x:c>
      <x:c r="C7" s="40" t="str">
        <x:v>Alta: origem da maior parte dos contatos (4)</x:v>
      </x:c>
      <x:c r="D7" s="40" t="str">
        <x:v>Sem métrica de origem e conversão por canal (3)</x:v>
      </x:c>
      <x:c r="E7" s="40" t="n">
        <x:v>4</x:v>
      </x:c>
      <x:c r="F7" s="40" t="n">
        <x:v>3</x:v>
      </x:c>
      <x:c r="G7" s="41" t="n">
        <x:v>0.2</x:v>
      </x:c>
      <x:c r="H7" s="44" t="n">
        <x:f aca="0">AVERAGE(E7:F7)</x:f>
        <x:v>3.5</x:v>
      </x:c>
      <x:c r="I7" s="44" t="n">
        <x:f aca="0">G7*H7</x:f>
        <x:v>0.7000000000000001</x:v>
      </x:c>
      <x:c r="J7" s="40" t="str">
        <x:v>Não se sabe quais canais geram receita.</x:v>
      </x:c>
      <x:c r="K7" s="40" t="str">
        <x:v>Medir origem, conversão e ciclo por canal no CRM.</x:v>
      </x:c>
    </x:row>
    <x:row r="8" ht="95" hidden="0" customHeight="1">
      <x:c r="A8" s="39" t="str">
        <x:v>V4</x:v>
      </x:c>
      <x:c r="B8" s="39" t="str">
        <x:v>Treinamento como canal de entrada</x:v>
      </x:c>
      <x:c r="C8" s="39" t="str">
        <x:v>Potencial moderado: estimativa declarada de dois em dez treinamentos (3)</x:v>
      </x:c>
      <x:c r="D8" s="39" t="str">
        <x:v>Agenda dos instrutores; aluno PF não retido (2)</x:v>
      </x:c>
      <x:c r="E8" s="39" t="n">
        <x:v>3</x:v>
      </x:c>
      <x:c r="F8" s="39" t="n">
        <x:v>2</x:v>
      </x:c>
      <x:c r="G8" s="42" t="n">
        <x:v>0.15</x:v>
      </x:c>
      <x:c r="H8" s="45" t="n">
        <x:f aca="0">AVERAGE(E8:F8)</x:f>
        <x:v>2.5</x:v>
      </x:c>
      <x:c r="I8" s="45" t="n">
        <x:f aca="0">G8*H8</x:f>
        <x:v>0.375</x:v>
      </x:c>
      <x:c r="J8" s="39" t="str">
        <x:v>Porta de entrada potencial; custo de aquisição não calculado.</x:v>
      </x:c>
      <x:c r="K8" s="39" t="str">
        <x:v>Trilhas corporativas e nutrição pós-curso.</x:v>
      </x:c>
    </x:row>
    <x:row r="9" ht="95" hidden="0" customHeight="1">
      <x:c r="A9" s="40" t="str">
        <x:v>V5</x:v>
      </x:c>
      <x:c r="B9" s="40" t="str">
        <x:v>Concorrentes-parceiros e instituições de ensino</x:v>
      </x:c>
      <x:c r="C9" s="40" t="str">
        <x:v>Complementar: indicações e relevância (2)</x:v>
      </x:c>
      <x:c r="D9" s="40" t="str">
        <x:v>Parceiro pode virar concorrente (2)</x:v>
      </x:c>
      <x:c r="E9" s="40" t="n">
        <x:v>2</x:v>
      </x:c>
      <x:c r="F9" s="40" t="n">
        <x:v>2</x:v>
      </x:c>
      <x:c r="G9" s="41" t="n">
        <x:v>0.1</x:v>
      </x:c>
      <x:c r="H9" s="44" t="n">
        <x:f aca="0">AVERAGE(E9:F9)</x:f>
        <x:v>2</x:v>
      </x:c>
      <x:c r="I9" s="44" t="n">
        <x:f aca="0">G9*H9</x:f>
        <x:v>0.2</x:v>
      </x:c>
      <x:c r="J9" s="40" t="str">
        <x:v>Indicações e coopetição; custo e retorno não mensurados.</x:v>
      </x:c>
      <x:c r="K9" s="40" t="str">
        <x:v>Formalizar papéis e referências conjuntas.</x:v>
      </x:c>
    </x:row>
    <x:row r="10" ht="70" hidden="0" customHeight="1">
      <x:c r="A10" s="36"/>
      <x:c r="B10" s="36" t="str">
        <x:v>TOTAL</x:v>
      </x:c>
      <x:c r="C10" s="36"/>
      <x:c r="D10" s="36"/>
      <x:c r="E10" s="36"/>
      <x:c r="F10" s="36"/>
      <x:c r="G10" s="43" t="n">
        <x:f aca="0">SUM(G5:G9)</x:f>
        <x:v>1</x:v>
      </x:c>
      <x:c r="H10" s="36"/>
      <x:c r="I10" s="36"/>
      <x:c r="J10" s="36"/>
      <x:c r="K10" s="36"/>
    </x:row>
    <x:row r="11" ht="70" customHeight="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</x:row>
    <x:row r="12" ht="80" customHeight="1">
      <x:c r="A12" s="48" t="str">
        <x:v>A montante estão plataformas, serviços cloud e o ecossistema externo de formação/contratação. Empregados são recursos internos; acesso a competências é uma dependência externa. A jusante, a QSOFT combina canais próprios com fabricantes, parceiros de serviço e instituições de ensino. Canais próprios não são atores externos. A cadeia exige proteger acesso a talentos e controlar dependência tecnológica. A atuação multistack amplia alternativas, mas não elimina custos de integração e troca. Treinamento e indicações são oportunidades a medir; não há CAC ou retorno por canal para classificá-los como baratos.</x:v>
      </x:c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</x:row>
    <x:row r="13" ht="70" customHeight="1">
      <x:c r="A13" s="36"/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</x:row>
    <x:row r="14" ht="36" customHeight="1">
      <x:c r="A14" s="38" t="str">
        <x:v>Critério</x:v>
      </x:c>
      <x:c r="B14" s="38" t="str">
        <x:v>Plataformas (Databricks, Snowflake, Google Cloud, Salesforce/Tableau, Microsoft, Anthropic)</x:v>
      </x:c>
      <x:c r="C14" s="38" t="str">
        <x:v>Ecossistema externo de profissionais e formação</x:v>
      </x:c>
      <x:c r="D14" s="36"/>
      <x:c r="E14" s="36"/>
      <x:c r="F14" s="36"/>
      <x:c r="G14" s="36"/>
      <x:c r="H14" s="36"/>
      <x:c r="I14" s="36"/>
      <x:c r="J14" s="36"/>
      <x:c r="K14" s="36"/>
    </x:row>
    <x:row r="15" ht="100" customHeight="1">
      <x:c r="A15" s="40" t="str">
        <x:v>Importância estratégica</x:v>
      </x:c>
      <x:c r="B15" s="40" t="str">
        <x:v>Alta: base técnica da entrega</x:v>
      </x:c>
      <x:c r="C15" s="40" t="str">
        <x:v>Alta: formação e contratação complementam o recurso humano interno (Q02).</x:v>
      </x:c>
      <x:c r="D15" s="36"/>
      <x:c r="E15" s="36"/>
      <x:c r="F15" s="36"/>
      <x:c r="G15" s="36"/>
      <x:c r="H15" s="36"/>
      <x:c r="I15" s="36"/>
      <x:c r="J15" s="36"/>
      <x:c r="K15" s="36"/>
    </x:row>
    <x:row r="16" ht="100" customHeight="1">
      <x:c r="A16" s="39" t="str">
        <x:v>Dependência</x:v>
      </x:c>
      <x:c r="B16" s="39" t="str">
        <x:v>Dependência varia pela stack instalada; atuação multistack amplia alternativas, sem eliminar custos de troca.</x:v>
      </x:c>
      <x:c r="C16" s="39" t="str">
        <x:v>Alta</x:v>
      </x:c>
      <x:c r="D16" s="36"/>
      <x:c r="E16" s="36"/>
      <x:c r="F16" s="36"/>
      <x:c r="G16" s="36"/>
      <x:c r="H16" s="36"/>
      <x:c r="I16" s="36"/>
      <x:c r="J16" s="36"/>
      <x:c r="K16" s="36"/>
    </x:row>
    <x:row r="17" ht="100" customHeight="1">
      <x:c r="A17" s="40" t="str">
        <x:v>Concentração</x:v>
      </x:c>
      <x:c r="B17" s="40" t="str">
        <x:v>Várias plataformas, mas concentração por stack instalada; número de marcas não elimina lock-in.</x:v>
      </x:c>
      <x:c r="C17" s="40" t="str">
        <x:v>Mercado disputado</x:v>
      </x:c>
      <x:c r="D17" s="36"/>
      <x:c r="E17" s="36"/>
      <x:c r="F17" s="36"/>
      <x:c r="G17" s="36"/>
      <x:c r="H17" s="36"/>
      <x:c r="I17" s="36"/>
      <x:c r="J17" s="36"/>
      <x:c r="K17" s="36"/>
    </x:row>
    <x:row r="18" ht="100" customHeight="1">
      <x:c r="A18" s="39" t="str">
        <x:v>Alternativas</x:v>
      </x:c>
      <x:c r="B18" s="39" t="str">
        <x:v>Alternativas tecnológicas existentes; equivalência funcional e migração precisam ser avaliadas por projeto.</x:v>
      </x:c>
      <x:c r="C18" s="39" t="str">
        <x:v>Formação interna (preferência) e contratação lateral (exceção)</x:v>
      </x:c>
      <x:c r="D18" s="36"/>
      <x:c r="E18" s="36"/>
      <x:c r="F18" s="36"/>
      <x:c r="G18" s="36"/>
      <x:c r="H18" s="36"/>
      <x:c r="I18" s="36"/>
      <x:c r="J18" s="36"/>
      <x:c r="K18" s="36"/>
    </x:row>
    <x:row r="19" ht="100" customHeight="1">
      <x:c r="A19" s="40" t="str">
        <x:v>Custo de substituição</x:v>
      </x:c>
      <x:c r="B19" s="40" t="str">
        <x:v>Migração pode exigir requalificação, certificação e integração; custo não quantificado.</x:v>
      </x:c>
      <x:c r="C19" s="40" t="str">
        <x:v>Alto: tempo de formação</x:v>
      </x:c>
      <x:c r="D19" s="36"/>
      <x:c r="E19" s="36"/>
      <x:c r="F19" s="36"/>
      <x:c r="G19" s="36"/>
      <x:c r="H19" s="36"/>
      <x:c r="I19" s="36"/>
      <x:c r="J19" s="36"/>
      <x:c r="K19" s="36"/>
    </x:row>
    <x:row r="20" ht="100" customHeight="1">
      <x:c r="A20" s="39" t="str">
        <x:v>Inovação / qualidade</x:v>
      </x:c>
      <x:c r="B20" s="39" t="str">
        <x:v>Atualização contínua relatada; qualidade e resultados dependem da implementação, não aferidos comparativamente.</x:v>
      </x:c>
      <x:c r="C20" s="39" t="str">
        <x:v>Depende de capacitação contínua</x:v>
      </x:c>
      <x:c r="D20" s="36"/>
      <x:c r="E20" s="36"/>
      <x:c r="F20" s="36"/>
      <x:c r="G20" s="36"/>
      <x:c r="H20" s="36"/>
      <x:c r="I20" s="36"/>
      <x:c r="J20" s="36"/>
      <x:c r="K20" s="36"/>
    </x:row>
    <x:row r="21" ht="100" customHeight="1">
      <x:c r="A21" s="40" t="str">
        <x:v>Confiabilidade</x:v>
      </x:c>
      <x:c r="B21" s="40" t="str">
        <x:v>SLAs e desempenho não avaliados nesta base; não atribuir confiabilidade máxima.</x:v>
      </x:c>
      <x:c r="C21" s="40" t="str">
        <x:v>Disponibilidade e retenção não medidas; risco de saída é hipótese estrutural.</x:v>
      </x:c>
      <x:c r="D21" s="36"/>
      <x:c r="E21" s="36"/>
      <x:c r="F21" s="36"/>
      <x:c r="G21" s="36"/>
      <x:c r="H21" s="36"/>
      <x:c r="I21" s="36"/>
      <x:c r="J21" s="36"/>
      <x:c r="K21" s="36"/>
    </x:row>
    <x:row r="22" ht="100" customHeight="1">
      <x:c r="A22" s="39" t="str">
        <x:v>Risco</x:v>
      </x:c>
      <x:c r="B22" s="39" t="str">
        <x:v>Metas de venda e certificações para manter status; obsolescência</x:v>
      </x:c>
      <x:c r="C22" s="39" t="str">
        <x:v>Formação e contratação podem limitar a meta de crescimento declarada de 40%, que não é resultado realizado.</x:v>
      </x:c>
      <x:c r="D22" s="36"/>
      <x:c r="E22" s="36"/>
      <x:c r="F22" s="36"/>
      <x:c r="G22" s="36"/>
      <x:c r="H22" s="36"/>
      <x:c r="I22" s="36"/>
      <x:c r="J22" s="36"/>
      <x:c r="K22" s="36"/>
    </x:row>
    <x:row r="23" ht="7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</x:row>
    <x:row r="25" ht="36" customHeight="1">
      <x:c r="A25" s="38" t="str">
        <x:v>Critério</x:v>
      </x:c>
      <x:c r="B25" s="38" t="str">
        <x:v>Venda direta (site/SEO, eventos, SDR, diretoria)</x:v>
      </x:c>
      <x:c r="C25" s="38" t="str">
        <x:v>Parceiros tecnológicos</x:v>
      </x:c>
      <x:c r="D25" s="38" t="str">
        <x:v>Concorrentes-parceiros e instituições de ensino</x:v>
      </x:c>
      <x:c r="E25" s="36"/>
      <x:c r="F25" s="36"/>
      <x:c r="G25" s="36"/>
      <x:c r="H25" s="36"/>
      <x:c r="I25" s="36"/>
      <x:c r="J25" s="36"/>
      <x:c r="K25" s="36"/>
    </x:row>
    <x:row r="26" ht="80" customHeight="1">
      <x:c r="A26" s="40" t="str">
        <x:v>Acesso ao mercado</x:v>
      </x:c>
      <x:c r="B26" s="40" t="str">
        <x:v>Principal canal próprio; não é parceiro externo (Q04).</x:v>
      </x:c>
      <x:c r="C26" s="40" t="str">
        <x:v>Credibilidade e acesso</x:v>
      </x:c>
      <x:c r="D26" s="40" t="str">
        <x:v>Complementar</x:v>
      </x:c>
      <x:c r="E26" s="36"/>
      <x:c r="F26" s="36"/>
      <x:c r="G26" s="36"/>
      <x:c r="H26" s="36"/>
      <x:c r="I26" s="36"/>
      <x:c r="J26" s="36"/>
      <x:c r="K26" s="36"/>
    </x:row>
    <x:row r="27" ht="80" customHeight="1">
      <x:c r="A27" s="39" t="str">
        <x:v>Cobertura</x:v>
      </x:c>
      <x:c r="B27" s="39" t="str">
        <x:v>Nacional; presencial</x:v>
      </x:c>
      <x:c r="C27" s="39" t="str">
        <x:v>Nacional</x:v>
      </x:c>
      <x:c r="D27" s="39" t="str">
        <x:v>Pontual</x:v>
      </x:c>
      <x:c r="E27" s="36"/>
      <x:c r="F27" s="36"/>
      <x:c r="G27" s="36"/>
      <x:c r="H27" s="36"/>
      <x:c r="I27" s="36"/>
      <x:c r="J27" s="36"/>
      <x:c r="K27" s="36"/>
    </x:row>
    <x:row r="28" ht="80" customHeight="1">
      <x:c r="A28" s="40" t="str">
        <x:v>Poder de negociação</x:v>
      </x:c>
      <x:c r="B28" s="40" t="str">
        <x:v>Da QSOFT</x:v>
      </x:c>
      <x:c r="C28" s="40" t="str">
        <x:v>Alto do fabricante (metas)</x:v>
      </x:c>
      <x:c r="D28" s="40" t="str">
        <x:v>Equilibrado</x:v>
      </x:c>
      <x:c r="E28" s="36"/>
      <x:c r="F28" s="36"/>
      <x:c r="G28" s="36"/>
      <x:c r="H28" s="36"/>
      <x:c r="I28" s="36"/>
      <x:c r="J28" s="36"/>
      <x:c r="K28" s="36"/>
    </x:row>
    <x:row r="29" ht="80" customHeight="1">
      <x:c r="A29" s="39" t="str">
        <x:v>Dependência</x:v>
      </x:c>
      <x:c r="B29" s="39" t="str">
        <x:v>Alta do site e dos eventos</x:v>
      </x:c>
      <x:c r="C29" s="39" t="str">
        <x:v>Média</x:v>
      </x:c>
      <x:c r="D29" s="39" t="str">
        <x:v>Baixa</x:v>
      </x:c>
      <x:c r="E29" s="36"/>
      <x:c r="F29" s="36"/>
      <x:c r="G29" s="36"/>
      <x:c r="H29" s="36"/>
      <x:c r="I29" s="36"/>
      <x:c r="J29" s="36"/>
      <x:c r="K29" s="36"/>
    </x:row>
    <x:row r="30" ht="80" customHeight="1">
      <x:c r="A30" s="40" t="str">
        <x:v>Geração de demanda</x:v>
      </x:c>
      <x:c r="B30" s="40" t="str">
        <x:v>Relevância declarada; receita por canal e CAC não mensurados.</x:v>
      </x:c>
      <x:c r="C30" s="40" t="str">
        <x:v>Contribuição atribuída não mensurada.</x:v>
      </x:c>
      <x:c r="D30" s="40" t="str">
        <x:v>Indicações e relevância</x:v>
      </x:c>
      <x:c r="E30" s="36"/>
      <x:c r="F30" s="36"/>
      <x:c r="G30" s="36"/>
      <x:c r="H30" s="36"/>
      <x:c r="I30" s="36"/>
      <x:c r="J30" s="36"/>
      <x:c r="K30" s="36"/>
    </x:row>
    <x:row r="31" ht="80" customHeight="1">
      <x:c r="A31" s="39" t="str">
        <x:v>Informação</x:v>
      </x:c>
      <x:c r="B31" s="39" t="str">
        <x:v>CRM próprio: Pipedrive em uso e Salesforce em avaliação (Q08).</x:v>
      </x:c>
      <x:c r="C31" s="39" t="str">
        <x:v>Limitado</x:v>
      </x:c>
      <x:c r="D31" s="39" t="str">
        <x:v>Troca de serviços</x:v>
      </x:c>
      <x:c r="E31" s="36"/>
      <x:c r="F31" s="36"/>
      <x:c r="G31" s="36"/>
      <x:c r="H31" s="36"/>
      <x:c r="I31" s="36"/>
      <x:c r="J31" s="36"/>
      <x:c r="K31" s="36"/>
    </x:row>
    <x:row r="32" ht="80" customHeight="1">
      <x:c r="A32" s="40" t="str">
        <x:v>Experiência da marca</x:v>
      </x:c>
      <x:c r="B32" s="40" t="str">
        <x:v>Controlada pela QSOFT</x:v>
      </x:c>
      <x:c r="C32" s="40" t="str">
        <x:v>Associação a marcas fortes</x:v>
      </x:c>
      <x:c r="D32" s="40" t="str">
        <x:v>Relevância (palestras)</x:v>
      </x:c>
      <x:c r="E32" s="36"/>
      <x:c r="F32" s="36"/>
      <x:c r="G32" s="36"/>
      <x:c r="H32" s="36"/>
      <x:c r="I32" s="36"/>
      <x:c r="J32" s="36"/>
      <x:c r="K32" s="36"/>
    </x:row>
    <x:row r="33" ht="80" customHeight="1">
      <x:c r="A33" s="39" t="str">
        <x:v>Conflito / desintermediação</x:v>
      </x:c>
      <x:c r="B33" s="39" t="str">
        <x:v>Não se aplica</x:v>
      </x:c>
      <x:c r="C33" s="39" t="str">
        <x:v>Fabricante pode vender direto</x:v>
      </x:c>
      <x:c r="D33" s="39" t="str">
        <x:v>Parceiro pode virar concorrente</x:v>
      </x:c>
      <x:c r="E33" s="36"/>
      <x:c r="F33" s="36"/>
      <x:c r="G33" s="36"/>
      <x:c r="H33" s="36"/>
      <x:c r="I33" s="36"/>
      <x:c r="J33" s="36"/>
      <x:c r="K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</x:row>
  </x:sheetData>
  <x:mergeCells>
    <x:mergeCell ref="A1:K1"/>
    <x:mergeCell ref="A2:K2"/>
    <x:mergeCell ref="A12:K1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40" hidden="0" customWidth="1"/>
    <x:col min="3" max="6" width="8" hidden="0" customWidth="1"/>
    <x:col min="7" max="7" width="35" hidden="0" customWidth="1"/>
    <x:col min="8" max="8" width="52" hidden="0" customWidth="1"/>
    <x:col min="3" max="3" width="22" hidden="0" customWidth="1"/>
    <x:col min="4" max="4" width="22" hidden="0" customWidth="1"/>
    <x:col min="5" max="5" width="14" hidden="0" customWidth="1"/>
    <x:col min="6" max="6" width="13" hidden="0" customWidth="1"/>
    <x:col min="9" max="9" width="40" hidden="0" customWidth="1"/>
  </x:cols>
  <x:sheetData>
    <x:row r="1" ht="34" hidden="0" customHeight="1">
      <x:c r="A1" s="31" t="s">
        <x:v>6</x:v>
      </x:c>
      <x:c r="B1" s="31"/>
      <x:c r="C1" s="31"/>
      <x:c r="D1" s="31"/>
      <x:c r="E1" s="31"/>
      <x:c r="F1" s="31"/>
      <x:c r="G1" s="31"/>
      <x:c r="H1" s="31"/>
      <x:c r="I1" s="31"/>
    </x:row>
    <x:row r="2" ht="66" hidden="0" customHeight="1">
      <x:c r="A2" s="33" t="str">
        <x:v>NV = evidência insuficiente; Parcial em O = organização incompleta relatada. Valor sem raridade sustenta paridade; valor+raridade confirmada com imitação possível pode gerar vantagem temporária; V/R/I/O confirmados sustentam hipótese de vantagem sustentável. Nesta base não se comprova vantagem temporária ou sustentável. Isso é limite da evidência, não prova de ausência de potencial.</x:v>
      </x:c>
      <x:c r="B2" s="33"/>
      <x:c r="C2" s="33"/>
      <x:c r="D2" s="33"/>
      <x:c r="E2" s="33"/>
      <x:c r="F2" s="33"/>
      <x:c r="G2" s="33"/>
      <x:c r="H2" s="33"/>
      <x:c r="I2" s="55"/>
    </x:row>
    <x:row r="4" ht="36" hidden="0" customHeight="1">
      <x:c r="A4" s="38" t="str">
        <x:v>Cód.</x:v>
      </x:c>
      <x:c r="B4" s="38" t="str">
        <x:v>Recurso</x:v>
      </x:c>
      <x:c r="C4" s="38" t="str">
        <x:v>V</x:v>
      </x:c>
      <x:c r="D4" s="38" t="str">
        <x:v>R</x:v>
      </x:c>
      <x:c r="E4" s="38" t="str">
        <x:v>I</x:v>
      </x:c>
      <x:c r="F4" s="38" t="str">
        <x:v>O</x:v>
      </x:c>
      <x:c r="G4" s="38" t="str">
        <x:v>Resultado</x:v>
      </x:c>
      <x:c r="H4" s="38" t="str">
        <x:v>Evidência</x:v>
      </x:c>
      <x:c r="I4" s="36"/>
    </x:row>
    <x:row r="5" ht="100" hidden="0" customHeight="1">
      <x:c r="A5" s="40" t="str">
        <x:v>R1</x:v>
      </x:c>
      <x:c r="B5" s="40" t="str">
        <x:v>Relacionamento e conhecimento do cliente</x:v>
      </x:c>
      <x:c r="C5" s="40" t="str">
        <x:v>Sim</x:v>
      </x:c>
      <x:c r="D5" s="40" t="str">
        <x:v>NV</x:v>
      </x:c>
      <x:c r="E5" s="40" t="str">
        <x:v>NV</x:v>
      </x:c>
      <x:c r="F5" s="40" t="str">
        <x:v>Parcial</x:v>
      </x:c>
      <x:c r="G5" s="40" t="str">
        <x:v>Potencial de diferenciação; sustentabilidade não confirmada</x:v>
      </x:c>
      <x:c r="H5" s="40" t="str">
        <x:v>Q05/E12: vínculo plurianual. Falta comparar raridade e institucionalizar conhecimento.</x:v>
      </x:c>
      <x:c r="I5" s="36"/>
    </x:row>
    <x:row r="6" ht="100" hidden="0" customHeight="1">
      <x:c r="A6" s="39" t="str">
        <x:v>R2</x:v>
      </x:c>
      <x:c r="B6" s="39" t="str">
        <x:v>Especialização e referências em saúde</x:v>
      </x:c>
      <x:c r="C6" s="39" t="str">
        <x:v>Sim</x:v>
      </x:c>
      <x:c r="D6" s="39" t="str">
        <x:v>NV</x:v>
      </x:c>
      <x:c r="E6" s="39" t="str">
        <x:v>NV</x:v>
      </x:c>
      <x:c r="F6" s="39" t="str">
        <x:v>Parcial</x:v>
      </x:c>
      <x:c r="G6" s="39" t="str">
        <x:v>Potencial de diferenciação; sustentabilidade não confirmada</x:v>
      </x:c>
      <x:c r="H6" s="39" t="str">
        <x:v>Q01/E12: referências no segmento. Exclusividade e dificuldade de replicação não comprovadas.</x:v>
      </x:c>
      <x:c r="I6" s="36"/>
    </x:row>
    <x:row r="7" ht="100" hidden="0" customHeight="1">
      <x:c r="A7" s="40" t="str">
        <x:v>R3</x:v>
      </x:c>
      <x:c r="B7" s="40" t="str">
        <x:v>Método e aprendizagem acumulada</x:v>
      </x:c>
      <x:c r="C7" s="40" t="str">
        <x:v>Sim</x:v>
      </x:c>
      <x:c r="D7" s="40" t="str">
        <x:v>NV</x:v>
      </x:c>
      <x:c r="E7" s="40" t="str">
        <x:v>Não</x:v>
      </x:c>
      <x:c r="F7" s="40" t="str">
        <x:v>Parcial</x:v>
      </x:c>
      <x:c r="G7" s="40" t="str">
        <x:v>Paridade provável; raridade não comprovada</x:v>
      </x:c>
      <x:c r="H7" s="40" t="str">
        <x:v>Q08: métodos abertos e aprendizagem. Documentação e rotinas ainda em desenvolvimento.</x:v>
      </x:c>
      <x:c r="I7" s="36"/>
    </x:row>
    <x:row r="8" ht="100" hidden="0" customHeight="1">
      <x:c r="A8" s="39" t="str">
        <x:v>R4</x:v>
      </x:c>
      <x:c r="B8" s="39" t="str">
        <x:v>Experimentação interna</x:v>
      </x:c>
      <x:c r="C8" s="39" t="str">
        <x:v>Sim</x:v>
      </x:c>
      <x:c r="D8" s="39" t="str">
        <x:v>NV</x:v>
      </x:c>
      <x:c r="E8" s="39" t="str">
        <x:v>Não</x:v>
      </x:c>
      <x:c r="F8" s="39" t="str">
        <x:v>Parcial</x:v>
      </x:c>
      <x:c r="G8" s="39" t="str">
        <x:v>Paridade provável; raridade não comprovada</x:v>
      </x:c>
      <x:c r="H8" s="39" t="str">
        <x:v>Q06: uso e teste interno relatados. Sem comparação com rivais.</x:v>
      </x:c>
      <x:c r="I8" s="36"/>
    </x:row>
    <x:row r="9" ht="100" hidden="0" customHeight="1">
      <x:c r="A9" s="40" t="str">
        <x:v>R5</x:v>
      </x:c>
      <x:c r="B9" s="40" t="str">
        <x:v>Personalização e flexibilidade</x:v>
      </x:c>
      <x:c r="C9" s="40" t="str">
        <x:v>Sim</x:v>
      </x:c>
      <x:c r="D9" s="40" t="str">
        <x:v>Não</x:v>
      </x:c>
      <x:c r="E9" s="40" t="str">
        <x:v>Não</x:v>
      </x:c>
      <x:c r="F9" s="40" t="str">
        <x:v>Sim</x:v>
      </x:c>
      <x:c r="G9" s="40" t="str">
        <x:v>Paridade competitiva</x:v>
      </x:c>
      <x:c r="H9" s="40" t="str">
        <x:v>Q05: pacotes e adaptação. A entrevista reconhece prática semelhante em boutiques.</x:v>
      </x:c>
      <x:c r="I9" s="36"/>
    </x:row>
    <x:row r="10" ht="100" hidden="0" customHeight="1">
      <x:c r="A10" s="39" t="str">
        <x:v>R6</x:v>
      </x:c>
      <x:c r="B10" s="39" t="str">
        <x:v>Equipe formada e certificada</x:v>
      </x:c>
      <x:c r="C10" s="39" t="str">
        <x:v>Sim</x:v>
      </x:c>
      <x:c r="D10" s="39" t="str">
        <x:v>NV</x:v>
      </x:c>
      <x:c r="E10" s="39" t="str">
        <x:v>Não</x:v>
      </x:c>
      <x:c r="F10" s="39" t="str">
        <x:v>Parcial</x:v>
      </x:c>
      <x:c r="G10" s="39" t="str">
        <x:v>Paridade provável; raridade não comprovada</x:v>
      </x:c>
      <x:c r="H10" s="39" t="str">
        <x:v>Q02/Q08: formação e incentivo. Competências individuais contratáveis; trilhas em estruturação.</x:v>
      </x:c>
      <x:c r="I10" s="36"/>
    </x:row>
    <x:row r="11" ht="100" hidden="0" customHeight="1">
      <x:c r="A11" s="40" t="str">
        <x:v>R7</x:v>
      </x:c>
      <x:c r="B11" s="40" t="str">
        <x:v>Reputação e cases</x:v>
      </x:c>
      <x:c r="C11" s="40" t="str">
        <x:v>Sim</x:v>
      </x:c>
      <x:c r="D11" s="40" t="str">
        <x:v>Não</x:v>
      </x:c>
      <x:c r="E11" s="40" t="str">
        <x:v>Não</x:v>
      </x:c>
      <x:c r="F11" s="40" t="str">
        <x:v>Parcial</x:v>
      </x:c>
      <x:c r="G11" s="40" t="str">
        <x:v>Paridade competitiva</x:v>
      </x:c>
      <x:c r="H11" s="40" t="str">
        <x:v>E12/E16/E20: rivais também publicam resultados. Sistematizar provas da QSOFT.</x:v>
      </x:c>
      <x:c r="I11" s="36"/>
    </x:row>
    <x:row r="12" ht="100" hidden="0" customHeight="1">
      <x:c r="A12" s="39" t="str">
        <x:v>R8</x:v>
      </x:c>
      <x:c r="B12" s="39" t="str">
        <x:v>Alianças tecnológicas</x:v>
      </x:c>
      <x:c r="C12" s="39" t="str">
        <x:v>Sim</x:v>
      </x:c>
      <x:c r="D12" s="39" t="str">
        <x:v>Não</x:v>
      </x:c>
      <x:c r="E12" s="39" t="str">
        <x:v>Não</x:v>
      </x:c>
      <x:c r="F12" s="39" t="str">
        <x:v>Sim</x:v>
      </x:c>
      <x:c r="G12" s="39" t="str">
        <x:v>Paridade competitiva</x:v>
      </x:c>
      <x:c r="H12" s="39" t="str">
        <x:v>E13/E16/E21 e Q06: tecnologias acessíveis e alianças não exclusivas.</x:v>
      </x:c>
      <x:c r="I12" s="36"/>
    </x:row>
    <x:row r="13" ht="100" hidden="0" customHeight="1">
      <x:c r="A13" s="40" t="str">
        <x:v>R9</x:v>
      </x:c>
      <x:c r="B13" s="40" t="str">
        <x:v>Competência multistack</x:v>
      </x:c>
      <x:c r="C13" s="40" t="str">
        <x:v>Sim</x:v>
      </x:c>
      <x:c r="D13" s="40" t="str">
        <x:v>Não</x:v>
      </x:c>
      <x:c r="E13" s="40" t="str">
        <x:v>Não</x:v>
      </x:c>
      <x:c r="F13" s="40" t="str">
        <x:v>Sim</x:v>
      </x:c>
      <x:c r="G13" s="40" t="str">
        <x:v>Paridade competitiva</x:v>
      </x:c>
      <x:c r="H13" s="40" t="str">
        <x:v>E13/E15/E18: atuação multitecnologia também nos concorrentes.</x:v>
      </x:c>
      <x:c r="I13" s="36"/>
    </x:row>
    <x:row r="14" ht="100" hidden="0" customHeight="1">
      <x:c r="A14" s="39" t="str">
        <x:v>R10</x:v>
      </x:c>
      <x:c r="B14" s="39" t="str">
        <x:v>Governança de dados existente</x:v>
      </x:c>
      <x:c r="C14" s="39" t="str">
        <x:v>Sim</x:v>
      </x:c>
      <x:c r="D14" s="39" t="str">
        <x:v>Não</x:v>
      </x:c>
      <x:c r="E14" s="39" t="str">
        <x:v>Não</x:v>
      </x:c>
      <x:c r="F14" s="39" t="str">
        <x:v>Parcial</x:v>
      </x:c>
      <x:c r="G14" s="39" t="str">
        <x:v>Paridade com necessidade de desenvolvimento</x:v>
      </x:c>
      <x:c r="H14" s="39" t="str">
        <x:v>E12/Q06: prática em dados; governança do uso IA requer oferta e controles definidos.</x:v>
      </x:c>
      <x:c r="I14" s="36"/>
    </x:row>
    <x:row r="15" ht="70" hidden="0" customHeight="1">
      <x:c r="A15" s="36"/>
      <x:c r="B15" s="36"/>
      <x:c r="C15" s="36"/>
      <x:c r="D15" s="36"/>
      <x:c r="E15" s="36"/>
      <x:c r="F15" s="36"/>
      <x:c r="G15" s="36"/>
      <x:c r="H15" s="36"/>
      <x:c r="I15" s="36"/>
    </x:row>
    <x:row r="16" ht="74" customHeight="1">
      <x:c r="A16" s="48" t="str">
        <x:v>O VRIO separa valor, raridade, dificuldade de imitação e organização. R1/R2 podem sustentar diferenciação no foco escolhido, mas a comparação não comprova raridade ou sustentabilidade. R11 foi retirado como recurso: a insuficiência de mensuração aparece em I7/W2. A oferta de governança IA é capacidade a desenvolver, distinta da governança de dados existente (R10).</x:v>
      </x:c>
      <x:c r="B16" s="48"/>
      <x:c r="C16" s="48"/>
      <x:c r="D16" s="48"/>
      <x:c r="E16" s="48"/>
      <x:c r="F16" s="48"/>
      <x:c r="G16" s="48"/>
      <x:c r="H16" s="48"/>
      <x:c r="I16" s="48"/>
    </x:row>
    <x:row r="17" ht="70" customHeight="1">
      <x:c r="A17" s="36"/>
      <x:c r="B17" s="36"/>
      <x:c r="C17" s="36"/>
      <x:c r="D17" s="36"/>
      <x:c r="E17" s="36"/>
      <x:c r="F17" s="36"/>
      <x:c r="G17" s="36"/>
      <x:c r="H17" s="36"/>
      <x:c r="I17" s="36"/>
    </x:row>
    <x:row r="18" ht="36" hidden="0" customHeight="1">
      <x:c r="A18" s="38" t="str">
        <x:v>Cód.</x:v>
      </x:c>
      <x:c r="B18" s="38" t="str">
        <x:v>Recurso / capacidade</x:v>
      </x:c>
      <x:c r="C18" s="38" t="str">
        <x:v>Evidência</x:v>
      </x:c>
      <x:c r="D18" s="38" t="str">
        <x:v>Resultado</x:v>
      </x:c>
      <x:c r="E18" s="38" t="str">
        <x:v>Importância</x:v>
      </x:c>
      <x:c r="F18" s="38" t="str">
        <x:v>Peso</x:v>
      </x:c>
      <x:c r="G18" s="38" t="str">
        <x:v>Prioridade</x:v>
      </x:c>
      <x:c r="H18" s="38" t="str">
        <x:v>Força / Fraqueza</x:v>
      </x:c>
      <x:c r="I18" s="38" t="str">
        <x:v>Recomendação</x:v>
      </x:c>
    </x:row>
    <x:row r="19" ht="70" hidden="0" customHeight="1">
      <x:c r="A19" s="40" t="str">
        <x:v>I1</x:v>
      </x:c>
      <x:c r="B19" s="40" t="str">
        <x:v>Relacionamento e conhecimento</x:v>
      </x:c>
      <x:c r="C19" s="40" t="str">
        <x:v>Q05/E12</x:v>
      </x:c>
      <x:c r="D19" s="40" t="str">
        <x:v>Potencial não confirmado</x:v>
      </x:c>
      <x:c r="E19" s="40" t="n">
        <x:v>5</x:v>
      </x:c>
      <x:c r="F19" s="41" t="n">
        <x:v>0.17</x:v>
      </x:c>
      <x:c r="G19" s="44" t="n">
        <x:f aca="0">E19*F19</x:f>
        <x:v>0.8500000000000001</x:v>
      </x:c>
      <x:c r="H19" s="40" t="str">
        <x:v>Força</x:v>
      </x:c>
      <x:c r="I19" s="40" t="str">
        <x:v>Proteger e institucionalizar</x:v>
      </x:c>
    </x:row>
    <x:row r="20" ht="70" hidden="0" customHeight="1">
      <x:c r="A20" s="39" t="str">
        <x:v>I2</x:v>
      </x:c>
      <x:c r="B20" s="39" t="str">
        <x:v>Referências em saúde</x:v>
      </x:c>
      <x:c r="C20" s="39" t="str">
        <x:v>Q01/E12</x:v>
      </x:c>
      <x:c r="D20" s="39" t="str">
        <x:v>Potencial não confirmado</x:v>
      </x:c>
      <x:c r="E20" s="39" t="n">
        <x:v>4</x:v>
      </x:c>
      <x:c r="F20" s="42" t="n">
        <x:v>0.11</x:v>
      </x:c>
      <x:c r="G20" s="45" t="n">
        <x:f aca="0">E20*F20</x:f>
        <x:v>0.44</x:v>
      </x:c>
      <x:c r="H20" s="39" t="str">
        <x:v>Força</x:v>
      </x:c>
      <x:c r="I20" s="39" t="str">
        <x:v>Potencializar</x:v>
      </x:c>
    </x:row>
    <x:row r="21" ht="70" hidden="0" customHeight="1">
      <x:c r="A21" s="40" t="str">
        <x:v>I3</x:v>
      </x:c>
      <x:c r="B21" s="40" t="str">
        <x:v>Portfólio e flexibilidade</x:v>
      </x:c>
      <x:c r="C21" s="40" t="str">
        <x:v>E13/Q05</x:v>
      </x:c>
      <x:c r="D21" s="40" t="str">
        <x:v>Paridade</x:v>
      </x:c>
      <x:c r="E21" s="40" t="n">
        <x:v>4</x:v>
      </x:c>
      <x:c r="F21" s="41" t="n">
        <x:v>0.1</x:v>
      </x:c>
      <x:c r="G21" s="44" t="n">
        <x:f aca="0">E21*F21</x:f>
        <x:v>0.4</x:v>
      </x:c>
      <x:c r="H21" s="40" t="str">
        <x:v>Força</x:v>
      </x:c>
      <x:c r="I21" s="40" t="str">
        <x:v>Integrar proposta</x:v>
      </x:c>
    </x:row>
    <x:row r="22" ht="70" hidden="0" customHeight="1">
      <x:c r="A22" s="39" t="str">
        <x:v>I4</x:v>
      </x:c>
      <x:c r="B22" s="39" t="str">
        <x:v>Capacidade e formação</x:v>
      </x:c>
      <x:c r="C22" s="39" t="str">
        <x:v>Q02/Q08</x:v>
      </x:c>
      <x:c r="D22" s="39" t="str">
        <x:v>Capacidade sob restrição</x:v>
      </x:c>
      <x:c r="E22" s="39" t="n">
        <x:v>5</x:v>
      </x:c>
      <x:c r="F22" s="42" t="n">
        <x:v>0.14</x:v>
      </x:c>
      <x:c r="G22" s="45" t="n">
        <x:f aca="0">E22*F22</x:f>
        <x:v>0.7000000000000001</x:v>
      </x:c>
      <x:c r="H22" s="39" t="str">
        <x:v>Força com vulnerabilidade</x:v>
      </x:c>
      <x:c r="I22" s="39" t="str">
        <x:v>Desenvolver equipe</x:v>
      </x:c>
    </x:row>
    <x:row r="23" ht="70" hidden="0" customHeight="1">
      <x:c r="A23" s="40" t="str">
        <x:v>I5</x:v>
      </x:c>
      <x:c r="B23" s="40" t="str">
        <x:v>Método e experimentação</x:v>
      </x:c>
      <x:c r="C23" s="40" t="str">
        <x:v>Q06/Q08</x:v>
      </x:c>
      <x:c r="D23" s="40" t="str">
        <x:v>Paridade provável</x:v>
      </x:c>
      <x:c r="E23" s="40" t="n">
        <x:v>4</x:v>
      </x:c>
      <x:c r="F23" s="41" t="n">
        <x:v>0.07</x:v>
      </x:c>
      <x:c r="G23" s="44" t="n">
        <x:f aca="0">E23*F23</x:f>
        <x:v>0.28</x:v>
      </x:c>
      <x:c r="H23" s="40" t="str">
        <x:v>Força em desenvolvimento</x:v>
      </x:c>
      <x:c r="I23" s="40" t="str">
        <x:v>Documentar método</x:v>
      </x:c>
    </x:row>
    <x:row r="24" ht="70" hidden="0" customHeight="1">
      <x:c r="A24" s="39" t="str">
        <x:v>I6</x:v>
      </x:c>
      <x:c r="B24" s="39" t="str">
        <x:v>Oferta de governança IA</x:v>
      </x:c>
      <x:c r="C24" s="39" t="str">
        <x:v>Q06/F3</x:v>
      </x:c>
      <x:c r="D24" s="39" t="str">
        <x:v>Oferta a delimitar</x:v>
      </x:c>
      <x:c r="E24" s="39" t="n">
        <x:v>5</x:v>
      </x:c>
      <x:c r="F24" s="42" t="n">
        <x:v>0.13</x:v>
      </x:c>
      <x:c r="G24" s="45" t="n">
        <x:f aca="0">E24*F24</x:f>
        <x:v>0.65</x:v>
      </x:c>
      <x:c r="H24" s="39" t="str">
        <x:v>Fraqueza</x:v>
      </x:c>
      <x:c r="I24" s="39" t="str">
        <x:v>Desenvolver oferta</x:v>
      </x:c>
    </x:row>
    <x:row r="25" ht="70" hidden="0" customHeight="1">
      <x:c r="A25" s="40" t="str">
        <x:v>I7</x:v>
      </x:c>
      <x:c r="B25" s="40" t="str">
        <x:v>Prova de ROI e funil</x:v>
      </x:c>
      <x:c r="C25" s="40" t="str">
        <x:v>Q03/Q04</x:v>
      </x:c>
      <x:c r="D25" s="40" t="str">
        <x:v>Capacidade insuficiente</x:v>
      </x:c>
      <x:c r="E25" s="40" t="n">
        <x:v>5</x:v>
      </x:c>
      <x:c r="F25" s="41" t="n">
        <x:v>0.1</x:v>
      </x:c>
      <x:c r="G25" s="44" t="n">
        <x:f aca="0">E25*F25</x:f>
        <x:v>0.5</x:v>
      </x:c>
      <x:c r="H25" s="40" t="str">
        <x:v>Fraqueza</x:v>
      </x:c>
      <x:c r="I25" s="40" t="str">
        <x:v>Desenvolver mensuração</x:v>
      </x:c>
    </x:row>
    <x:row r="26" ht="70" hidden="0" customHeight="1">
      <x:c r="A26" s="39" t="str">
        <x:v>I8</x:v>
      </x:c>
      <x:c r="B26" s="39" t="str">
        <x:v>Referências em novos públicos</x:v>
      </x:c>
      <x:c r="C26" s="39" t="str">
        <x:v>Q07/Q04</x:v>
      </x:c>
      <x:c r="D26" s="39" t="str">
        <x:v>Referências não verificadas</x:v>
      </x:c>
      <x:c r="E26" s="39" t="n">
        <x:v>3</x:v>
      </x:c>
      <x:c r="F26" s="42" t="n">
        <x:v>0.04</x:v>
      </x:c>
      <x:c r="G26" s="45" t="n">
        <x:f aca="0">E26*F26</x:f>
        <x:v>0.12</x:v>
      </x:c>
      <x:c r="H26" s="39" t="str">
        <x:v>Fraqueza</x:v>
      </x:c>
      <x:c r="I26" s="39" t="str">
        <x:v>Validar seguros; delimitar PF</x:v>
      </x:c>
    </x:row>
    <x:row r="27" ht="70" hidden="0" customHeight="1">
      <x:c r="A27" s="40" t="str">
        <x:v>I9</x:v>
      </x:c>
      <x:c r="B27" s="40" t="str">
        <x:v>Sensing</x:v>
      </x:c>
      <x:c r="C27" s="40" t="str">
        <x:v>Q05/Q06</x:v>
      </x:c>
      <x:c r="D27" s="40" t="str">
        <x:v>Escuta pouco formalizada</x:v>
      </x:c>
      <x:c r="E27" s="40" t="n">
        <x:v>4</x:v>
      </x:c>
      <x:c r="F27" s="41" t="n">
        <x:f aca="0"/>
        <x:v>0.04</x:v>
      </x:c>
      <x:c r="G27" s="44" t="n">
        <x:f>E27*F27</x:f>
        <x:v>0.16</x:v>
      </x:c>
      <x:c r="H27" s="40" t="str">
        <x:v>Capacidade parcial</x:v>
      </x:c>
      <x:c r="I27" s="40" t="str">
        <x:v>Monitorar e registrar</x:v>
      </x:c>
    </x:row>
    <x:row r="28" ht="70" customHeight="1">
      <x:c r="A28" s="39" t="str">
        <x:v>I10</x:v>
      </x:c>
      <x:c r="B28" s="39" t="str">
        <x:v>Seizing</x:v>
      </x:c>
      <x:c r="C28" s="39" t="str">
        <x:v>Q04/Q06</x:v>
      </x:c>
      <x:c r="D28" s="39" t="str">
        <x:v>Captura em desenvolvimento</x:v>
      </x:c>
      <x:c r="E28" s="39" t="n">
        <x:v>5</x:v>
      </x:c>
      <x:c r="F28" s="42" t="n">
        <x:v>0.06</x:v>
      </x:c>
      <x:c r="G28" s="45" t="n">
        <x:f>E28*F28</x:f>
        <x:v>0.3</x:v>
      </x:c>
      <x:c r="H28" s="39" t="str">
        <x:v>Capacidade parcial</x:v>
      </x:c>
      <x:c r="I28" s="39" t="str">
        <x:v>Validar oferta e piloto</x:v>
      </x:c>
    </x:row>
    <x:row r="29" ht="70" customHeight="1">
      <x:c r="A29" s="40" t="str">
        <x:v>I11</x:v>
      </x:c>
      <x:c r="B29" s="40" t="str">
        <x:v>Transforming</x:v>
      </x:c>
      <x:c r="C29" s="40" t="str">
        <x:v>Q08</x:v>
      </x:c>
      <x:c r="D29" s="40" t="str">
        <x:v>Reconfiguração parcial</x:v>
      </x:c>
      <x:c r="E29" s="40" t="n">
        <x:v>4</x:v>
      </x:c>
      <x:c r="F29" s="41" t="n">
        <x:v>0.04</x:v>
      </x:c>
      <x:c r="G29" s="44" t="n">
        <x:f>E29*F29</x:f>
        <x:v>0.16</x:v>
      </x:c>
      <x:c r="H29" s="40" t="str">
        <x:v>Capacidade parcial</x:v>
      </x:c>
      <x:c r="I29" s="40" t="str">
        <x:v>Padronizar transferência</x:v>
      </x:c>
    </x:row>
    <x:row r="30" ht="70" customHeight="1">
      <x:c r="A30" s="36"/>
      <x:c r="B30" s="36" t="str">
        <x:v>TOTAL</x:v>
      </x:c>
      <x:c r="C30" s="36"/>
      <x:c r="D30" s="36"/>
      <x:c r="E30" s="36"/>
      <x:c r="F30" s="43" t="n">
        <x:f>SUM(F19:F29)</x:f>
        <x:v>1.0000000000000002</x:v>
      </x:c>
      <x:c r="G30" s="36"/>
      <x:c r="H30" s="36"/>
      <x:c r="I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</x:row>
    <x:row r="32" ht="75" customHeight="1">
      <x:c r="A32" s="48" t="str">
        <x:v>Prioridade = importância × peso. Relacionamento, saúde, capacidade, oferta e métricas mantêm maior relevância. Redistribuíram-se os pesos anteriores para reservar 14% às rotinas dinâmicas (I9–I11), reduzindo pesos dos recursos associados. Essas rotinas avaliam monitoramento, captura e reconfiguração, e não repetem o valor do recurso. Em SWOT, convergem para fatores existentes sem dupla contagem.</x:v>
      </x:c>
      <x:c r="B32" s="48"/>
      <x:c r="C32" s="48"/>
      <x:c r="D32" s="48"/>
      <x:c r="E32" s="48"/>
      <x:c r="F32" s="48"/>
      <x:c r="G32" s="48"/>
      <x:c r="H32" s="48"/>
      <x:c r="I32" s="48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</x:row>
    <x:row r="34" ht="36" customHeight="1">
      <x:c r="A34" s="38" t="str">
        <x:v>Capacidade</x:v>
      </x:c>
      <x:c r="B34" s="38" t="str">
        <x:v>Avaliação</x:v>
      </x:c>
      <x:c r="C34" s="38" t="str">
        <x:v>Evidência</x:v>
      </x:c>
      <x:c r="D34" s="38" t="str">
        <x:v>Limite</x:v>
      </x:c>
      <x:c r="E34" s="38" t="str">
        <x:v>Direção</x:v>
      </x:c>
      <x:c r="F34" s="36"/>
      <x:c r="G34" s="36"/>
      <x:c r="H34" s="36"/>
      <x:c r="I34" s="36"/>
    </x:row>
    <x:row r="35" ht="115" customHeight="1">
      <x:c r="A35" s="40" t="str">
        <x:v>Sensing</x:v>
      </x:c>
      <x:c r="B35" s="40" t="str">
        <x:v>Presente, pouco formalizado</x:v>
      </x:c>
      <x:c r="C35" s="40" t="str">
        <x:v>Q05/Q06: escuta do cliente e percepção de Shadow AI</x:v>
      </x:c>
      <x:c r="D35" s="40" t="str">
        <x:v>Sem série de propostas perdidas ou rotina comparativa</x:v>
      </x:c>
      <x:c r="E35" s="40" t="str">
        <x:v>Monitorar mercado e motivos de perda</x:v>
      </x:c>
      <x:c r="F35" s="36"/>
      <x:c r="G35" s="36"/>
      <x:c r="H35" s="36"/>
      <x:c r="I35" s="36"/>
    </x:row>
    <x:row r="36" ht="115" customHeight="1">
      <x:c r="A36" s="39" t="str">
        <x:v>Seizing</x:v>
      </x:c>
      <x:c r="B36" s="39" t="str">
        <x:v>Em desenvolvimento</x:v>
      </x:c>
      <x:c r="C36" s="39" t="str">
        <x:v>Q04/Q06: treinamento e parcerias; contratação relatada</x:v>
      </x:c>
      <x:c r="D36" s="39" t="str">
        <x:v>Oferta IA e piloto não comprovados; intenção não é captura</x:v>
      </x:c>
      <x:c r="E36" s="39" t="str">
        <x:v>Converter aprendizado em oferta validada</x:v>
      </x:c>
      <x:c r="F36" s="36"/>
      <x:c r="G36" s="36"/>
      <x:c r="H36" s="36"/>
      <x:c r="I36" s="36"/>
    </x:row>
    <x:row r="37" ht="115" customHeight="1">
      <x:c r="A37" s="40" t="str">
        <x:v>Transforming</x:v>
      </x:c>
      <x:c r="B37" s="40" t="str">
        <x:v>Presente, ainda parcial</x:v>
      </x:c>
      <x:c r="C37" s="40" t="str">
        <x:v>Q08: avaliação de CRM, formação e reorganização</x:v>
      </x:c>
      <x:c r="D37" s="40" t="str">
        <x:v>Conhecimento depende de pessoas; trilhas em estruturação</x:v>
      </x:c>
      <x:c r="E37" s="40" t="str">
        <x:v>Documentar e transferir conhecimento</x:v>
      </x:c>
      <x:c r="F37" s="36"/>
      <x:c r="G37" s="36"/>
      <x:c r="H37" s="36"/>
      <x:c r="I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</x:row>
    <x:row r="39" ht="65" customHeight="1">
      <x:c r="A39" s="48" t="str">
        <x:v>I1/I4/I6/I7 têm importância 5 por protegerem receita, capacidade, oferta e prova. I2/I3/I5/I9/I11 têm 4 por apoiarem o foco e a adaptação; I8 tem 3 por expansão condicionada; I10 tem 5 por converter a principal oportunidade. Capacidades planejadas não são execução comprovada.</x:v>
      </x:c>
      <x:c r="B39" s="48"/>
      <x:c r="C39" s="48"/>
      <x:c r="D39" s="48"/>
      <x:c r="E39" s="48"/>
      <x:c r="F39" s="48"/>
      <x:c r="G39" s="48"/>
      <x:c r="H39" s="48"/>
      <x:c r="I39" s="48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</x:row>
    <x:row r="41" ht="36" customHeight="1">
      <x:c r="A41" s="38" t="str">
        <x:v>Ação</x:v>
      </x:c>
      <x:c r="B41" s="38" t="str">
        <x:v>Recursos e capacidades</x:v>
      </x:c>
      <x:c r="C41" s="36"/>
      <x:c r="D41" s="36"/>
      <x:c r="E41" s="36"/>
      <x:c r="F41" s="36"/>
      <x:c r="G41" s="36"/>
      <x:c r="H41" s="36"/>
      <x:c r="I41" s="36"/>
    </x:row>
    <x:row r="42" ht="70" customHeight="1">
      <x:c r="A42" s="40" t="str">
        <x:v>Proteger</x:v>
      </x:c>
      <x:c r="B42" s="40" t="str">
        <x:v>I1 relacionamento; registrar conhecimento e continuidade.</x:v>
      </x:c>
      <x:c r="C42" s="36"/>
      <x:c r="D42" s="36"/>
      <x:c r="E42" s="36"/>
      <x:c r="F42" s="36"/>
      <x:c r="G42" s="36"/>
      <x:c r="H42" s="36"/>
      <x:c r="I42" s="36"/>
    </x:row>
    <x:row r="43" ht="70" customHeight="1">
      <x:c r="A43" s="39" t="str">
        <x:v>Potencializar</x:v>
      </x:c>
      <x:c r="B43" s="39" t="str">
        <x:v>I2 saúde; I3 proposta integrada.</x:v>
      </x:c>
      <x:c r="C43" s="36"/>
      <x:c r="D43" s="36"/>
      <x:c r="E43" s="36"/>
      <x:c r="F43" s="36"/>
      <x:c r="G43" s="36"/>
      <x:c r="H43" s="36"/>
      <x:c r="I43" s="36"/>
    </x:row>
    <x:row r="44" ht="70" customHeight="1">
      <x:c r="A44" s="40" t="str">
        <x:v>Desenvolver</x:v>
      </x:c>
      <x:c r="B44" s="40" t="str">
        <x:v>I4 capacidade; I5 método; I6 oferta; I7 métricas; I9/I10/I11 rotinas dinâmicas.</x:v>
      </x:c>
      <x:c r="C44" s="36"/>
      <x:c r="D44" s="36"/>
      <x:c r="E44" s="36"/>
      <x:c r="F44" s="36"/>
      <x:c r="G44" s="36"/>
      <x:c r="H44" s="36"/>
      <x:c r="I44" s="36"/>
    </x:row>
    <x:row r="45" ht="70" customHeight="1">
      <x:c r="A45" s="39" t="str">
        <x:v>Adquirir</x:v>
      </x:c>
      <x:c r="B45" s="39" t="str">
        <x:v>I8 referências e competências de seguros, somente após validação do segmento.</x:v>
      </x:c>
      <x:c r="C45" s="36"/>
      <x:c r="D45" s="36"/>
      <x:c r="E45" s="36"/>
      <x:c r="F45" s="36"/>
      <x:c r="G45" s="36"/>
      <x:c r="H45" s="36"/>
      <x:c r="I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</x:row>
  </x:sheetData>
  <x:mergeCells>
    <x:mergeCell ref="A1:I1"/>
    <x:mergeCell ref="A2:I2"/>
    <x:mergeCell ref="A16:I16"/>
    <x:mergeCell ref="A32:I32"/>
    <x:mergeCell ref="A39:I39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18" hidden="0" customWidth="1"/>
    <x:col min="3" max="3" width="58" hidden="0" customWidth="1"/>
    <x:col min="4" max="4" width="38" hidden="0" customWidth="1"/>
    <x:col min="5" max="5" width="12" hidden="0" customWidth="1"/>
    <x:col min="6" max="6" width="14" hidden="0" customWidth="1"/>
    <x:col min="7" max="7" width="62" hidden="0" customWidth="1"/>
  </x:cols>
  <x:sheetData>
    <x:row r="1" ht="34" hidden="0" customHeight="1">
      <x:c r="A1" s="31" t="s">
        <x:v>7</x:v>
      </x:c>
      <x:c r="B1" s="31"/>
      <x:c r="C1" s="31"/>
      <x:c r="D1" s="31"/>
      <x:c r="E1" s="31"/>
      <x:c r="F1" s="31"/>
      <x:c r="G1" s="31"/>
    </x:row>
    <x:row r="2" ht="66" hidden="0" customHeight="1">
      <x:c r="A2" s="33" t="str">
        <x:v>SWOT. Pesos globais somam 100% e expressam relevância consolidada, não uma nova medida de impacto. Cada problema/oportunidade aparece uma vez: fontes repetidas não multiplicam peso. A prioridade de origem orienta a seleção e o julgamento considera demanda, margem, capacidade e foco; a justificativa por fator consta da planilha e do quadro complementar.</x:v>
      </x:c>
      <x:c r="B2" s="33"/>
      <x:c r="C2" s="33"/>
      <x:c r="D2" s="33"/>
      <x:c r="E2" s="33"/>
      <x:c r="F2" s="33"/>
      <x:c r="G2" s="55"/>
    </x:row>
    <x:row r="4" ht="36" hidden="0" customHeight="1">
      <x:c r="A4" s="38" t="str">
        <x:v>Cód.</x:v>
      </x:c>
      <x:c r="B4" s="38" t="str">
        <x:v>Quadrante</x:v>
      </x:c>
      <x:c r="C4" s="38" t="str">
        <x:v>Fator consolidado</x:v>
      </x:c>
      <x:c r="D4" s="38" t="str">
        <x:v>Origem no diagnóstico</x:v>
      </x:c>
      <x:c r="E4" s="38" t="str">
        <x:v>Peso</x:v>
      </x:c>
      <x:c r="F4" s="38" t="str">
        <x:v>Ranking geral</x:v>
      </x:c>
      <x:c r="G4" s="38" t="str">
        <x:v>Justificativa</x:v>
      </x:c>
    </x:row>
    <x:row r="5" ht="70" hidden="0" customHeight="1">
      <x:c r="A5" s="40" t="str">
        <x:v>S1</x:v>
      </x:c>
      <x:c r="B5" s="40" t="str">
        <x:v>Forças</x:v>
      </x:c>
      <x:c r="C5" s="40" t="str">
        <x:v>Relacionamento e conhecimento do cliente</x:v>
      </x:c>
      <x:c r="D5" s="40" t="str">
        <x:v>I1, F2, C2, R1</x:v>
      </x:c>
      <x:c r="E5" s="41" t="n">
        <x:v>0.09</x:v>
      </x:c>
      <x:c r="F5" s="40" t="n">
        <x:f aca="0">RANK(E5,$E$5:$E$18,0)</x:f>
        <x:v>4</x:v>
      </x:c>
      <x:c r="G5" s="40" t="str">
        <x:v>Defende receita recorrente; raridade relativa não comprovada.</x:v>
      </x:c>
    </x:row>
    <x:row r="6" ht="70" hidden="0" customHeight="1">
      <x:c r="A6" s="39" t="str">
        <x:v>S2</x:v>
      </x:c>
      <x:c r="B6" s="39" t="str">
        <x:v>Forças</x:v>
      </x:c>
      <x:c r="C6" s="39" t="str">
        <x:v>Portfólio integrado e flexibilidade</x:v>
      </x:c>
      <x:c r="D6" s="39" t="str">
        <x:v>I3, F4, F7, C5</x:v>
      </x:c>
      <x:c r="E6" s="42" t="n">
        <x:v>0.07</x:v>
      </x:c>
      <x:c r="F6" s="39" t="n">
        <x:f aca="0">RANK(E6,$E$5:$E$18,0)</x:f>
        <x:v>6</x:v>
      </x:c>
      <x:c r="G6" s="39" t="str">
        <x:v>Facilita expansão por áreas; não comprova custo inferior.</x:v>
      </x:c>
    </x:row>
    <x:row r="7" ht="70" hidden="0" customHeight="1">
      <x:c r="A7" s="40" t="str">
        <x:v>S3</x:v>
      </x:c>
      <x:c r="B7" s="40" t="str">
        <x:v>Forças</x:v>
      </x:c>
      <x:c r="C7" s="40" t="str">
        <x:v>Referências e conhecimento em saúde</x:v>
      </x:c>
      <x:c r="D7" s="40" t="str">
        <x:v>I2, F1, R2</x:v>
      </x:c>
      <x:c r="E7" s="41" t="n">
        <x:v>0.07</x:v>
      </x:c>
      <x:c r="F7" s="40" t="n">
        <x:f aca="0">RANK(E7,$E$5:$E$18,0)</x:f>
        <x:v>6</x:v>
      </x:c>
      <x:c r="G7" s="40" t="str">
        <x:v>Base mais aderente para validar oferta.</x:v>
      </x:c>
    </x:row>
    <x:row r="8" ht="70" hidden="0" customHeight="1">
      <x:c r="A8" s="39" t="str">
        <x:v>S4</x:v>
      </x:c>
      <x:c r="B8" s="39" t="str">
        <x:v>Forças</x:v>
      </x:c>
      <x:c r="C8" s="39" t="str">
        <x:v>Capacitação e alianças aplicadas</x:v>
      </x:c>
      <x:c r="D8" s="39" t="str">
        <x:v>I4, V2/V4, C6, F5</x:v>
      </x:c>
      <x:c r="E8" s="42" t="n">
        <x:v>0.05</x:v>
      </x:c>
      <x:c r="F8" s="39" t="n">
        <x:f aca="0">RANK(E8,$E$5:$E$18,0)</x:f>
        <x:v>11</x:v>
      </x:c>
      <x:c r="G8" s="39" t="str">
        <x:v>Sustenta entrega e entrada via treinamento; capacidade e conversão limitam expansão.</x:v>
      </x:c>
    </x:row>
    <x:row r="9" ht="70" hidden="0" customHeight="1">
      <x:c r="A9" s="40" t="str">
        <x:v>W1</x:v>
      </x:c>
      <x:c r="B9" s="40" t="str">
        <x:v>Fraquezas</x:v>
      </x:c>
      <x:c r="C9" s="40" t="str">
        <x:v>Oferta de governança IA a delimitar</x:v>
      </x:c>
      <x:c r="D9" s="40" t="str">
        <x:v>I6, I10, F3, C3</x:v>
      </x:c>
      <x:c r="E9" s="41" t="n">
        <x:v>0.1</x:v>
      </x:c>
      <x:c r="F9" s="40" t="n">
        <x:f aca="0">RANK(E9,$E$5:$E$18,0)</x:f>
        <x:v>2</x:v>
      </x:c>
      <x:c r="G9" s="40" t="str">
        <x:v>Bloqueia captura da principal oportunidade.</x:v>
      </x:c>
    </x:row>
    <x:row r="10" ht="70" hidden="0" customHeight="1">
      <x:c r="A10" s="39" t="str">
        <x:v>W2</x:v>
      </x:c>
      <x:c r="B10" s="39" t="str">
        <x:v>Fraquezas</x:v>
      </x:c>
      <x:c r="C10" s="39" t="str">
        <x:v>Prova de valor e métricas insuficientes</x:v>
      </x:c>
      <x:c r="D10" s="39" t="str">
        <x:v>I7, I9, C1, V3</x:v>
      </x:c>
      <x:c r="E10" s="42" t="n">
        <x:v>0.09</x:v>
      </x:c>
      <x:c r="F10" s="39" t="n">
        <x:f aca="0">RANK(E10,$E$5:$E$18,0)</x:f>
        <x:v>4</x:v>
      </x:c>
      <x:c r="G10" s="39" t="str">
        <x:v>Eleva incerteza na compra e impede medir perdas.</x:v>
      </x:c>
    </x:row>
    <x:row r="11" ht="70" hidden="0" customHeight="1">
      <x:c r="A11" s="40" t="str">
        <x:v>W3</x:v>
      </x:c>
      <x:c r="B11" s="40" t="str">
        <x:v>Fraquezas</x:v>
      </x:c>
      <x:c r="C11" s="40" t="str">
        <x:v>Restrição de especialistas e transferência de conhecimento</x:v>
      </x:c>
      <x:c r="D11" s="40" t="str">
        <x:v>I4, I11, V1</x:v>
      </x:c>
      <x:c r="E11" s="41" t="n">
        <x:v>0.07</x:v>
      </x:c>
      <x:c r="F11" s="40" t="n">
        <x:f aca="0">RANK(E11,$E$5:$E$18,0)</x:f>
        <x:v>6</x:v>
      </x:c>
      <x:c r="G11" s="40" t="str">
        <x:v>Crescimento depende de agenda e formação.</x:v>
      </x:c>
    </x:row>
    <x:row r="12" ht="70" hidden="0" customHeight="1">
      <x:c r="A12" s="39" t="str">
        <x:v>W4</x:v>
      </x:c>
      <x:c r="B12" s="39" t="str">
        <x:v>Fraquezas</x:v>
      </x:c>
      <x:c r="C12" s="39" t="str">
        <x:v>Referências específicas insuficientemente comprovadas em novos públicos</x:v>
      </x:c>
      <x:c r="D12" s="39" t="str">
        <x:v>I8, Q07, Why Not</x:v>
      </x:c>
      <x:c r="E12" s="42" t="n">
        <x:v>0.03</x:v>
      </x:c>
      <x:c r="F12" s="39" t="n">
        <x:f aca="0">RANK(E12,$E$5:$E$18,0)</x:f>
        <x:v>14</x:v>
      </x:c>
      <x:c r="G12" s="39" t="str">
        <x:v>Expansão condicionada; não urgente no foco de saúde.</x:v>
      </x:c>
    </x:row>
    <x:row r="13" ht="70" hidden="0" customHeight="1">
      <x:c r="A13" s="40" t="str">
        <x:v>O1</x:v>
      </x:c>
      <x:c r="B13" s="40" t="str">
        <x:v>Oportunidades</x:v>
      </x:c>
      <x:c r="C13" s="40" t="str">
        <x:v>Demanda potencial de governança IA e adoção segura</x:v>
      </x:c>
      <x:c r="D13" s="40" t="str">
        <x:v>P1, P2, M2</x:v>
      </x:c>
      <x:c r="E13" s="41" t="n">
        <x:v>0.12</x:v>
      </x:c>
      <x:c r="F13" s="40" t="n">
        <x:f aca="0">RANK(E13,$E$5:$E$18,0)</x:f>
        <x:v>1</x:v>
      </x:c>
      <x:c r="G13" s="40" t="str">
        <x:v>Maior aderência à dor relatada; contratação ainda a validar.</x:v>
      </x:c>
    </x:row>
    <x:row r="14" ht="70" hidden="0" customHeight="1">
      <x:c r="A14" s="39" t="str">
        <x:v>O2</x:v>
      </x:c>
      <x:c r="B14" s="39" t="str">
        <x:v>Oportunidades</x:v>
      </x:c>
      <x:c r="C14" s="39" t="str">
        <x:v>Investimento bancário em dados e cloud</x:v>
      </x:c>
      <x:c r="D14" s="39" t="str">
        <x:v>P4</x:v>
      </x:c>
      <x:c r="E14" s="42" t="n">
        <x:v>0.06</x:v>
      </x:c>
      <x:c r="F14" s="39" t="n">
        <x:f aca="0">RANK(E14,$E$5:$E$18,0)</x:f>
        <x:v>9</x:v>
      </x:c>
      <x:c r="G14" s="39" t="str">
        <x:v>Sinal setorial; não dimensiona seguros.</x:v>
      </x:c>
    </x:row>
    <x:row r="15" ht="70" hidden="0" customHeight="1">
      <x:c r="A15" s="40" t="str">
        <x:v>O3</x:v>
      </x:c>
      <x:c r="B15" s="40" t="str">
        <x:v>Oportunidades</x:v>
      </x:c>
      <x:c r="C15" s="40" t="str">
        <x:v>Necessidade de capacitação corporativa</x:v>
      </x:c>
      <x:c r="D15" s="40" t="str">
        <x:v>P8, C6</x:v>
      </x:c>
      <x:c r="E15" s="41" t="n">
        <x:v>0.05</x:v>
      </x:c>
      <x:c r="F15" s="40" t="n">
        <x:f aca="0">RANK(E15,$E$5:$E$18,0)</x:f>
        <x:v>11</x:v>
      </x:c>
      <x:c r="G15" s="40" t="str">
        <x:v>Relacionada à adoção, com canal existente.</x:v>
      </x:c>
    </x:row>
    <x:row r="16" ht="70" hidden="0" customHeight="1">
      <x:c r="A16" s="39" t="str">
        <x:v>T1</x:v>
      </x:c>
      <x:c r="B16" s="39" t="str">
        <x:v>Ameaças</x:v>
      </x:c>
      <x:c r="C16" s="39" t="str">
        <x:v>Rivalidade, compradores e exigência de retorno</x:v>
      </x:c>
      <x:c r="D16" s="39" t="str">
        <x:v>FP1, FP2, P3, M1</x:v>
      </x:c>
      <x:c r="E16" s="42" t="n">
        <x:v>0.1</x:v>
      </x:c>
      <x:c r="F16" s="39" t="n">
        <x:f aca="0">RANK(E16,$E$5:$E$18,0)</x:f>
        <x:v>2</x:v>
      </x:c>
      <x:c r="G16" s="39" t="str">
        <x:v>Pressiona margem e processo de venda.</x:v>
      </x:c>
    </x:row>
    <x:row r="17" ht="70" hidden="0" customHeight="1">
      <x:c r="A17" s="40" t="str">
        <x:v>T2</x:v>
      </x:c>
      <x:c r="B17" s="40" t="str">
        <x:v>Ameaças</x:v>
      </x:c>
      <x:c r="C17" s="40" t="str">
        <x:v>Disputa e atualização de competências</x:v>
      </x:c>
      <x:c r="D17" s="40" t="str">
        <x:v>P7, FP3, V1</x:v>
      </x:c>
      <x:c r="E17" s="41" t="n">
        <x:v>0.06</x:v>
      </x:c>
      <x:c r="F17" s="40" t="n">
        <x:f aca="0">RANK(E17,$E$5:$E$18,0)</x:f>
        <x:v>9</x:v>
      </x:c>
      <x:c r="G17" s="40" t="str">
        <x:v>Pressiona acesso ao conhecimento e capacidade.</x:v>
      </x:c>
    </x:row>
    <x:row r="18" ht="70" hidden="0" customHeight="1">
      <x:c r="A18" s="39" t="str">
        <x:v>T3</x:v>
      </x:c>
      <x:c r="B18" s="39" t="str">
        <x:v>Ameaças</x:v>
      </x:c>
      <x:c r="C18" s="39" t="str">
        <x:v>Commoditização e substituição de etapas</x:v>
      </x:c>
      <x:c r="D18" s="39" t="str">
        <x:v>P6, FP5, M5</x:v>
      </x:c>
      <x:c r="E18" s="42" t="n">
        <x:v>0.04</x:v>
      </x:c>
      <x:c r="F18" s="39" t="n">
        <x:f aca="0">RANK(E18,$E$5:$E$18,0)</x:f>
        <x:v>13</x:v>
      </x:c>
      <x:c r="G18" s="39" t="str">
        <x:v>Mais relevante em serviços padronizados.</x:v>
      </x:c>
    </x:row>
    <x:row r="19" ht="28" hidden="0" customHeight="1">
      <x:c r="A19" s="36"/>
      <x:c r="B19" s="36"/>
      <x:c r="C19" s="36" t="str">
        <x:v>TOTAL</x:v>
      </x:c>
      <x:c r="D19" s="36"/>
      <x:c r="E19" s="43" t="n">
        <x:f aca="0">SUM(E5:E18)</x:f>
        <x:v>1</x:v>
      </x:c>
      <x:c r="F19" s="36"/>
      <x:c r="G19" s="36"/>
    </x:row>
    <x:row r="20" ht="28" hidden="0" customHeight="1">
      <x:c r="A20" s="36"/>
      <x:c r="B20" s="36"/>
      <x:c r="C20" s="36" t="str">
        <x:v>Forças</x:v>
      </x:c>
      <x:c r="D20" s="36"/>
      <x:c r="E20" s="43" t="n">
        <x:f aca="0">SUMIF(B5:B18,C20,E5:E18)</x:f>
        <x:v>0.28</x:v>
      </x:c>
      <x:c r="F20" s="36"/>
      <x:c r="G20" s="36"/>
    </x:row>
    <x:row r="21" ht="28" hidden="0" customHeight="1">
      <x:c r="A21" s="36"/>
      <x:c r="B21" s="36"/>
      <x:c r="C21" s="36" t="str">
        <x:v>Fraquezas</x:v>
      </x:c>
      <x:c r="D21" s="36"/>
      <x:c r="E21" s="43" t="n">
        <x:f aca="0">SUMIF(B5:B18,C21,E5:E18)</x:f>
        <x:v>0.29000000000000004</x:v>
      </x:c>
      <x:c r="F21" s="36"/>
      <x:c r="G21" s="36"/>
    </x:row>
    <x:row r="22" ht="28" hidden="0" customHeight="1">
      <x:c r="A22" s="36"/>
      <x:c r="B22" s="36"/>
      <x:c r="C22" s="36" t="str">
        <x:v>Oportunidades</x:v>
      </x:c>
      <x:c r="D22" s="36"/>
      <x:c r="E22" s="43" t="n">
        <x:f aca="0">SUMIF(B5:B18,C22,E5:E18)</x:f>
        <x:v>0.22999999999999998</x:v>
      </x:c>
      <x:c r="F22" s="36"/>
      <x:c r="G22" s="36"/>
    </x:row>
    <x:row r="23" ht="28" hidden="0" customHeight="1">
      <x:c r="A23" s="36"/>
      <x:c r="B23" s="36"/>
      <x:c r="C23" s="36" t="str">
        <x:v>Ameaças</x:v>
      </x:c>
      <x:c r="D23" s="36"/>
      <x:c r="E23" s="43" t="n">
        <x:f aca="0">SUMIF(B5:B18,C23,E5:E18)</x:f>
        <x:v>0.2</x:v>
      </x:c>
      <x:c r="F23" s="36"/>
      <x:c r="G23" s="36"/>
    </x:row>
    <x:row r="24" ht="70" customHeight="1">
      <x:c r="A24" s="36"/>
      <x:c r="B24" s="36"/>
      <x:c r="C24" s="36"/>
      <x:c r="D24" s="36"/>
      <x:c r="E24" s="36"/>
      <x:c r="F24" s="36"/>
      <x:c r="G24" s="36"/>
    </x:row>
    <x:row r="25" ht="55" customHeight="1">
      <x:c r="A25" s="48" t="str">
        <x:v>O1/W1/T1/S1/W2 concentram 50%. A oportunidade de adoção segura depende de oferta e prova, em mercado competitivo. Relacionamento e saúde oferecem uma entrada plausível, não uma barreira rara já comprovada. Os totais dos quadrantes não representam saldo financeiro nem chance de sucesso.</x:v>
      </x:c>
      <x:c r="B25" s="48"/>
      <x:c r="C25" s="48"/>
      <x:c r="D25" s="48"/>
      <x:c r="E25" s="48"/>
      <x:c r="F25" s="48"/>
      <x:c r="G25" s="48"/>
    </x:row>
    <x:row r="26" ht="70" customHeight="1">
      <x:c r="A26" s="36"/>
      <x:c r="B26" s="36"/>
      <x:c r="C26" s="36"/>
      <x:c r="D26" s="36"/>
      <x:c r="E26" s="36"/>
      <x:c r="F26" s="36"/>
      <x:c r="G26" s="36"/>
    </x:row>
    <x:row r="27" ht="70" customHeight="1">
      <x:c r="A27" s="36"/>
      <x:c r="B27" s="36"/>
      <x:c r="C27" s="36"/>
      <x:c r="D27" s="36"/>
      <x:c r="E27" s="36"/>
      <x:c r="F27" s="36"/>
      <x:c r="G27" s="36"/>
    </x:row>
    <x:row r="28" ht="70" customHeight="1">
      <x:c r="A28" s="36"/>
      <x:c r="B28" s="36"/>
      <x:c r="C28" s="36"/>
      <x:c r="D28" s="36"/>
      <x:c r="E28" s="36"/>
      <x:c r="F28" s="36"/>
      <x:c r="G28" s="36"/>
    </x:row>
    <x:row r="29" ht="70" customHeight="1">
      <x:c r="A29" s="36"/>
      <x:c r="B29" s="36"/>
      <x:c r="C29" s="36"/>
      <x:c r="D29" s="36"/>
      <x:c r="E29" s="36"/>
      <x:c r="F29" s="36"/>
      <x:c r="G29" s="36"/>
    </x:row>
    <x:row r="30" ht="70" customHeight="1">
      <x:c r="A30" s="36"/>
      <x:c r="B30" s="36"/>
      <x:c r="C30" s="36"/>
      <x:c r="D30" s="36"/>
      <x:c r="E30" s="36"/>
      <x:c r="F30" s="36"/>
      <x:c r="G30" s="36"/>
    </x:row>
    <x:row r="31" ht="70" customHeight="1">
      <x:c r="A31" s="36"/>
      <x:c r="B31" s="36"/>
      <x:c r="C31" s="36"/>
      <x:c r="D31" s="36"/>
      <x:c r="E31" s="36"/>
      <x:c r="F31" s="36"/>
      <x:c r="G31" s="36"/>
    </x:row>
    <x:row r="32" ht="70" customHeight="1">
      <x:c r="A32" s="36"/>
      <x:c r="B32" s="36"/>
      <x:c r="C32" s="36"/>
      <x:c r="D32" s="36"/>
      <x:c r="E32" s="36"/>
      <x:c r="F32" s="36"/>
      <x:c r="G32" s="36"/>
    </x:row>
    <x:row r="33" ht="70" customHeight="1">
      <x:c r="A33" s="36"/>
      <x:c r="B33" s="36"/>
      <x:c r="C33" s="36"/>
      <x:c r="D33" s="36"/>
      <x:c r="E33" s="36"/>
      <x:c r="F33" s="36"/>
      <x:c r="G33" s="36"/>
    </x:row>
    <x:row r="34" ht="70" customHeight="1">
      <x:c r="A34" s="36"/>
      <x:c r="B34" s="36"/>
      <x:c r="C34" s="36"/>
      <x:c r="D34" s="36"/>
      <x:c r="E34" s="36"/>
      <x:c r="F34" s="36"/>
      <x:c r="G34" s="36"/>
    </x:row>
    <x:row r="35" ht="70" customHeight="1">
      <x:c r="A35" s="36"/>
      <x:c r="B35" s="36"/>
      <x:c r="C35" s="36"/>
      <x:c r="D35" s="36"/>
      <x:c r="E35" s="36"/>
      <x:c r="F35" s="36"/>
      <x:c r="G35" s="36"/>
    </x:row>
    <x:row r="36" ht="70" customHeight="1">
      <x:c r="A36" s="36"/>
      <x:c r="B36" s="36"/>
      <x:c r="C36" s="36"/>
      <x:c r="D36" s="36"/>
      <x:c r="E36" s="36"/>
      <x:c r="F36" s="36"/>
      <x:c r="G36" s="36"/>
    </x:row>
    <x:row r="37" ht="70" customHeight="1">
      <x:c r="A37" s="36"/>
      <x:c r="B37" s="36"/>
      <x:c r="C37" s="36"/>
      <x:c r="D37" s="36"/>
      <x:c r="E37" s="36"/>
      <x:c r="F37" s="36"/>
      <x:c r="G37" s="36"/>
    </x:row>
    <x:row r="38" ht="70" customHeight="1">
      <x:c r="A38" s="36"/>
      <x:c r="B38" s="36"/>
      <x:c r="C38" s="36"/>
      <x:c r="D38" s="36"/>
      <x:c r="E38" s="36"/>
      <x:c r="F38" s="36"/>
      <x:c r="G38" s="36"/>
    </x:row>
    <x:row r="39" ht="70" customHeight="1">
      <x:c r="A39" s="36"/>
      <x:c r="B39" s="36"/>
      <x:c r="C39" s="36"/>
      <x:c r="D39" s="36"/>
      <x:c r="E39" s="36"/>
      <x:c r="F39" s="36"/>
      <x:c r="G39" s="36"/>
    </x:row>
    <x:row r="40" ht="70" customHeight="1">
      <x:c r="A40" s="36"/>
      <x:c r="B40" s="36"/>
      <x:c r="C40" s="36"/>
      <x:c r="D40" s="36"/>
      <x:c r="E40" s="36"/>
      <x:c r="F40" s="36"/>
      <x:c r="G40" s="36"/>
    </x:row>
    <x:row r="41" ht="70" customHeight="1">
      <x:c r="A41" s="36"/>
      <x:c r="B41" s="36"/>
      <x:c r="C41" s="36"/>
      <x:c r="D41" s="36"/>
      <x:c r="E41" s="36"/>
      <x:c r="F41" s="36"/>
      <x:c r="G41" s="36"/>
    </x:row>
    <x:row r="42" ht="70" customHeight="1">
      <x:c r="A42" s="36"/>
      <x:c r="B42" s="36"/>
      <x:c r="C42" s="36"/>
      <x:c r="D42" s="36"/>
      <x:c r="E42" s="36"/>
      <x:c r="F42" s="36"/>
      <x:c r="G42" s="36"/>
    </x:row>
    <x:row r="43" ht="70" customHeight="1">
      <x:c r="A43" s="36"/>
      <x:c r="B43" s="36"/>
      <x:c r="C43" s="36"/>
      <x:c r="D43" s="36"/>
      <x:c r="E43" s="36"/>
      <x:c r="F43" s="36"/>
      <x:c r="G43" s="36"/>
    </x:row>
    <x:row r="44" ht="70" customHeight="1">
      <x:c r="A44" s="36"/>
      <x:c r="B44" s="36"/>
      <x:c r="C44" s="36"/>
      <x:c r="D44" s="36"/>
      <x:c r="E44" s="36"/>
      <x:c r="F44" s="36"/>
      <x:c r="G44" s="36"/>
    </x:row>
    <x:row r="45" ht="70" customHeight="1">
      <x:c r="A45" s="36"/>
      <x:c r="B45" s="36"/>
      <x:c r="C45" s="36"/>
      <x:c r="D45" s="36"/>
      <x:c r="E45" s="36"/>
      <x:c r="F45" s="36"/>
      <x:c r="G45" s="36"/>
    </x:row>
    <x:row r="46" ht="70" customHeight="1">
      <x:c r="A46" s="36"/>
      <x:c r="B46" s="36"/>
      <x:c r="C46" s="36"/>
      <x:c r="D46" s="36"/>
      <x:c r="E46" s="36"/>
      <x:c r="F46" s="36"/>
      <x:c r="G46" s="36"/>
    </x:row>
    <x:row r="47" ht="70" customHeight="1">
      <x:c r="A47" s="36"/>
      <x:c r="B47" s="36"/>
      <x:c r="C47" s="36"/>
      <x:c r="D47" s="36"/>
      <x:c r="E47" s="36"/>
      <x:c r="F47" s="36"/>
      <x:c r="G47" s="36"/>
    </x:row>
    <x:row r="48" ht="70" customHeight="1">
      <x:c r="A48" s="36"/>
      <x:c r="B48" s="36"/>
      <x:c r="C48" s="36"/>
      <x:c r="D48" s="36"/>
      <x:c r="E48" s="36"/>
      <x:c r="F48" s="36"/>
      <x:c r="G48" s="36"/>
    </x:row>
    <x:row r="49" ht="70" customHeight="1">
      <x:c r="A49" s="36"/>
      <x:c r="B49" s="36"/>
      <x:c r="C49" s="36"/>
      <x:c r="D49" s="36"/>
      <x:c r="E49" s="36"/>
      <x:c r="F49" s="36"/>
      <x:c r="G49" s="36"/>
    </x:row>
    <x:row r="50" ht="70" customHeight="1">
      <x:c r="A50" s="36"/>
      <x:c r="B50" s="36"/>
      <x:c r="C50" s="36"/>
      <x:c r="D50" s="36"/>
      <x:c r="E50" s="36"/>
      <x:c r="F50" s="36"/>
      <x:c r="G50" s="36"/>
    </x:row>
    <x:row r="51" ht="70" customHeight="1">
      <x:c r="A51" s="36"/>
      <x:c r="B51" s="36"/>
      <x:c r="C51" s="36"/>
      <x:c r="D51" s="36"/>
      <x:c r="E51" s="36"/>
      <x:c r="F51" s="36"/>
      <x:c r="G51" s="36"/>
    </x:row>
    <x:row r="52" ht="70" customHeight="1">
      <x:c r="A52" s="36"/>
      <x:c r="B52" s="36"/>
      <x:c r="C52" s="36"/>
      <x:c r="D52" s="36"/>
      <x:c r="E52" s="36"/>
      <x:c r="F52" s="36"/>
      <x:c r="G52" s="36"/>
    </x:row>
    <x:row r="53" ht="70" customHeight="1">
      <x:c r="A53" s="36"/>
      <x:c r="B53" s="36"/>
      <x:c r="C53" s="36"/>
      <x:c r="D53" s="36"/>
      <x:c r="E53" s="36"/>
      <x:c r="F53" s="36"/>
      <x:c r="G53" s="36"/>
    </x:row>
    <x:row r="54" ht="70" customHeight="1">
      <x:c r="A54" s="36"/>
      <x:c r="B54" s="36"/>
      <x:c r="C54" s="36"/>
      <x:c r="D54" s="36"/>
      <x:c r="E54" s="36"/>
      <x:c r="F54" s="36"/>
      <x:c r="G54" s="36"/>
    </x:row>
    <x:row r="55" ht="70" customHeight="1">
      <x:c r="A55" s="36"/>
      <x:c r="B55" s="36"/>
      <x:c r="C55" s="36"/>
      <x:c r="D55" s="36"/>
      <x:c r="E55" s="36"/>
      <x:c r="F55" s="36"/>
      <x:c r="G55" s="36"/>
    </x:row>
    <x:row r="56" ht="70" customHeight="1">
      <x:c r="A56" s="36"/>
      <x:c r="B56" s="36"/>
      <x:c r="C56" s="36"/>
      <x:c r="D56" s="36"/>
      <x:c r="E56" s="36"/>
      <x:c r="F56" s="36"/>
      <x:c r="G56" s="36"/>
    </x:row>
    <x:row r="57" ht="70" customHeight="1">
      <x:c r="A57" s="36"/>
      <x:c r="B57" s="36"/>
      <x:c r="C57" s="36"/>
      <x:c r="D57" s="36"/>
      <x:c r="E57" s="36"/>
      <x:c r="F57" s="36"/>
      <x:c r="G57" s="36"/>
    </x:row>
    <x:row r="58" ht="70" customHeight="1">
      <x:c r="A58" s="36"/>
      <x:c r="B58" s="36"/>
      <x:c r="C58" s="36"/>
      <x:c r="D58" s="36"/>
      <x:c r="E58" s="36"/>
      <x:c r="F58" s="36"/>
      <x:c r="G58" s="36"/>
    </x:row>
    <x:row r="59" ht="70" customHeight="1">
      <x:c r="A59" s="36"/>
      <x:c r="B59" s="36"/>
      <x:c r="C59" s="36"/>
      <x:c r="D59" s="36"/>
      <x:c r="E59" s="36"/>
      <x:c r="F59" s="36"/>
      <x:c r="G59" s="36"/>
    </x:row>
    <x:row r="60" ht="70" customHeight="1">
      <x:c r="A60" s="36"/>
      <x:c r="B60" s="36"/>
      <x:c r="C60" s="36"/>
      <x:c r="D60" s="36"/>
      <x:c r="E60" s="36"/>
      <x:c r="F60" s="36"/>
      <x:c r="G60" s="36"/>
    </x:row>
    <x:row r="61" ht="70" customHeight="1">
      <x:c r="A61" s="36"/>
      <x:c r="B61" s="36"/>
      <x:c r="C61" s="36"/>
      <x:c r="D61" s="36"/>
      <x:c r="E61" s="36"/>
      <x:c r="F61" s="36"/>
      <x:c r="G61" s="36"/>
    </x:row>
    <x:row r="62" ht="70" customHeight="1">
      <x:c r="A62" s="36"/>
      <x:c r="B62" s="36"/>
      <x:c r="C62" s="36"/>
      <x:c r="D62" s="36"/>
      <x:c r="E62" s="36"/>
      <x:c r="F62" s="36"/>
      <x:c r="G62" s="36"/>
    </x:row>
    <x:row r="63" ht="70" customHeight="1">
      <x:c r="A63" s="36"/>
      <x:c r="B63" s="36"/>
      <x:c r="C63" s="36"/>
      <x:c r="D63" s="36"/>
      <x:c r="E63" s="36"/>
      <x:c r="F63" s="36"/>
      <x:c r="G63" s="36"/>
    </x:row>
    <x:row r="64" ht="70" customHeight="1">
      <x:c r="A64" s="36"/>
      <x:c r="B64" s="36"/>
      <x:c r="C64" s="36"/>
      <x:c r="D64" s="36"/>
      <x:c r="E64" s="36"/>
      <x:c r="F64" s="36"/>
      <x:c r="G64" s="36"/>
    </x:row>
    <x:row r="65" ht="70" customHeight="1">
      <x:c r="A65" s="36"/>
      <x:c r="B65" s="36"/>
      <x:c r="C65" s="36"/>
      <x:c r="D65" s="36"/>
      <x:c r="E65" s="36"/>
      <x:c r="F65" s="36"/>
      <x:c r="G65" s="36"/>
    </x:row>
    <x:row r="66" ht="70" customHeight="1">
      <x:c r="A66" s="36"/>
      <x:c r="B66" s="36"/>
      <x:c r="C66" s="36"/>
      <x:c r="D66" s="36"/>
      <x:c r="E66" s="36"/>
      <x:c r="F66" s="36"/>
      <x:c r="G66" s="36"/>
    </x:row>
    <x:row r="67" ht="70" customHeight="1">
      <x:c r="A67" s="36"/>
      <x:c r="B67" s="36"/>
      <x:c r="C67" s="36"/>
      <x:c r="D67" s="36"/>
      <x:c r="E67" s="36"/>
      <x:c r="F67" s="36"/>
      <x:c r="G67" s="36"/>
    </x:row>
    <x:row r="68" ht="70" customHeight="1">
      <x:c r="A68" s="36"/>
      <x:c r="B68" s="36"/>
      <x:c r="C68" s="36"/>
      <x:c r="D68" s="36"/>
      <x:c r="E68" s="36"/>
      <x:c r="F68" s="36"/>
      <x:c r="G68" s="36"/>
    </x:row>
    <x:row r="69" ht="70" customHeight="1">
      <x:c r="A69" s="36"/>
      <x:c r="B69" s="36"/>
      <x:c r="C69" s="36"/>
      <x:c r="D69" s="36"/>
      <x:c r="E69" s="36"/>
      <x:c r="F69" s="36"/>
      <x:c r="G69" s="36"/>
    </x:row>
    <x:row r="70" ht="70" customHeight="1">
      <x:c r="A70" s="36"/>
      <x:c r="B70" s="36"/>
      <x:c r="C70" s="36"/>
      <x:c r="D70" s="36"/>
      <x:c r="E70" s="36"/>
      <x:c r="F70" s="36"/>
      <x:c r="G70" s="36"/>
    </x:row>
    <x:row r="71" ht="70" customHeight="1">
      <x:c r="A71" s="36"/>
      <x:c r="B71" s="36"/>
      <x:c r="C71" s="36"/>
      <x:c r="D71" s="36"/>
      <x:c r="E71" s="36"/>
      <x:c r="F71" s="36"/>
      <x:c r="G71" s="36"/>
    </x:row>
    <x:row r="72" ht="70" customHeight="1">
      <x:c r="A72" s="36"/>
      <x:c r="B72" s="36"/>
      <x:c r="C72" s="36"/>
      <x:c r="D72" s="36"/>
      <x:c r="E72" s="36"/>
      <x:c r="F72" s="36"/>
      <x:c r="G72" s="36"/>
    </x:row>
    <x:row r="73" ht="70" customHeight="1">
      <x:c r="A73" s="36"/>
      <x:c r="B73" s="36"/>
      <x:c r="C73" s="36"/>
      <x:c r="D73" s="36"/>
      <x:c r="E73" s="36"/>
      <x:c r="F73" s="36"/>
      <x:c r="G73" s="36"/>
    </x:row>
    <x:row r="74" ht="70" customHeight="1">
      <x:c r="A74" s="36"/>
      <x:c r="B74" s="36"/>
      <x:c r="C74" s="36"/>
      <x:c r="D74" s="36"/>
      <x:c r="E74" s="36"/>
      <x:c r="F74" s="36"/>
      <x:c r="G74" s="36"/>
    </x:row>
    <x:row r="75" ht="70" customHeight="1">
      <x:c r="A75" s="36"/>
      <x:c r="B75" s="36"/>
      <x:c r="C75" s="36"/>
      <x:c r="D75" s="36"/>
      <x:c r="E75" s="36"/>
      <x:c r="F75" s="36"/>
      <x:c r="G75" s="36"/>
    </x:row>
    <x:row r="76" ht="70" customHeight="1">
      <x:c r="A76" s="36"/>
      <x:c r="B76" s="36"/>
      <x:c r="C76" s="36"/>
      <x:c r="D76" s="36"/>
      <x:c r="E76" s="36"/>
      <x:c r="F76" s="36"/>
      <x:c r="G76" s="36"/>
    </x:row>
    <x:row r="77" ht="70" customHeight="1">
      <x:c r="A77" s="36"/>
      <x:c r="B77" s="36"/>
      <x:c r="C77" s="36"/>
      <x:c r="D77" s="36"/>
      <x:c r="E77" s="36"/>
      <x:c r="F77" s="36"/>
      <x:c r="G77" s="36"/>
    </x:row>
    <x:row r="78" ht="70" customHeight="1">
      <x:c r="A78" s="36"/>
      <x:c r="B78" s="36"/>
      <x:c r="C78" s="36"/>
      <x:c r="D78" s="36"/>
      <x:c r="E78" s="36"/>
      <x:c r="F78" s="36"/>
      <x:c r="G78" s="36"/>
    </x:row>
    <x:row r="79" ht="70" customHeight="1">
      <x:c r="A79" s="36"/>
      <x:c r="B79" s="36"/>
      <x:c r="C79" s="36"/>
      <x:c r="D79" s="36"/>
      <x:c r="E79" s="36"/>
      <x:c r="F79" s="36"/>
      <x:c r="G79" s="36"/>
    </x:row>
    <x:row r="80" ht="70" customHeight="1">
      <x:c r="A80" s="36"/>
      <x:c r="B80" s="36"/>
      <x:c r="C80" s="36"/>
      <x:c r="D80" s="36"/>
      <x:c r="E80" s="36"/>
      <x:c r="F80" s="36"/>
      <x:c r="G80" s="36"/>
    </x:row>
    <x:row r="81" ht="70" customHeight="1">
      <x:c r="A81" s="36"/>
      <x:c r="B81" s="36"/>
      <x:c r="C81" s="36"/>
      <x:c r="D81" s="36"/>
      <x:c r="E81" s="36"/>
      <x:c r="F81" s="36"/>
      <x:c r="G81" s="36"/>
    </x:row>
    <x:row r="82" ht="70" customHeight="1">
      <x:c r="A82" s="36"/>
      <x:c r="B82" s="36"/>
      <x:c r="C82" s="36"/>
      <x:c r="D82" s="36"/>
      <x:c r="E82" s="36"/>
      <x:c r="F82" s="36"/>
      <x:c r="G82" s="36"/>
    </x:row>
    <x:row r="83" ht="70" customHeight="1">
      <x:c r="A83" s="36"/>
      <x:c r="B83" s="36"/>
      <x:c r="C83" s="36"/>
      <x:c r="D83" s="36"/>
      <x:c r="E83" s="36"/>
      <x:c r="F83" s="36"/>
      <x:c r="G83" s="36"/>
    </x:row>
    <x:row r="84" ht="70" customHeight="1">
      <x:c r="A84" s="36"/>
      <x:c r="B84" s="36"/>
      <x:c r="C84" s="36"/>
      <x:c r="D84" s="36"/>
      <x:c r="E84" s="36"/>
      <x:c r="F84" s="36"/>
      <x:c r="G84" s="36"/>
    </x:row>
    <x:row r="85" ht="70" customHeight="1">
      <x:c r="A85" s="36"/>
      <x:c r="B85" s="36"/>
      <x:c r="C85" s="36"/>
      <x:c r="D85" s="36"/>
      <x:c r="E85" s="36"/>
      <x:c r="F85" s="36"/>
      <x:c r="G85" s="36"/>
    </x:row>
    <x:row r="86" ht="70" customHeight="1">
      <x:c r="A86" s="36"/>
      <x:c r="B86" s="36"/>
      <x:c r="C86" s="36"/>
      <x:c r="D86" s="36"/>
      <x:c r="E86" s="36"/>
      <x:c r="F86" s="36"/>
      <x:c r="G86" s="36"/>
    </x:row>
    <x:row r="87" ht="70" customHeight="1">
      <x:c r="A87" s="36"/>
      <x:c r="B87" s="36"/>
      <x:c r="C87" s="36"/>
      <x:c r="D87" s="36"/>
      <x:c r="E87" s="36"/>
      <x:c r="F87" s="36"/>
      <x:c r="G87" s="36"/>
    </x:row>
    <x:row r="88" ht="70" customHeight="1">
      <x:c r="A88" s="36"/>
      <x:c r="B88" s="36"/>
      <x:c r="C88" s="36"/>
      <x:c r="D88" s="36"/>
      <x:c r="E88" s="36"/>
      <x:c r="F88" s="36"/>
      <x:c r="G88" s="36"/>
    </x:row>
    <x:row r="89" ht="70" customHeight="1">
      <x:c r="A89" s="36"/>
      <x:c r="B89" s="36"/>
      <x:c r="C89" s="36"/>
      <x:c r="D89" s="36"/>
      <x:c r="E89" s="36"/>
      <x:c r="F89" s="36"/>
      <x:c r="G89" s="36"/>
    </x:row>
    <x:row r="90" ht="70" customHeight="1">
      <x:c r="A90" s="36"/>
      <x:c r="B90" s="36"/>
      <x:c r="C90" s="36"/>
      <x:c r="D90" s="36"/>
      <x:c r="E90" s="36"/>
      <x:c r="F90" s="36"/>
      <x:c r="G90" s="36"/>
    </x:row>
    <x:row r="91" ht="70" customHeight="1">
      <x:c r="A91" s="36"/>
      <x:c r="B91" s="36"/>
      <x:c r="C91" s="36"/>
      <x:c r="D91" s="36"/>
      <x:c r="E91" s="36"/>
      <x:c r="F91" s="36"/>
      <x:c r="G91" s="36"/>
    </x:row>
    <x:row r="92" ht="70" customHeight="1">
      <x:c r="A92" s="36"/>
      <x:c r="B92" s="36"/>
      <x:c r="C92" s="36"/>
      <x:c r="D92" s="36"/>
      <x:c r="E92" s="36"/>
      <x:c r="F92" s="36"/>
      <x:c r="G92" s="36"/>
    </x:row>
    <x:row r="93" ht="70" customHeight="1">
      <x:c r="A93" s="36"/>
      <x:c r="B93" s="36"/>
      <x:c r="C93" s="36"/>
      <x:c r="D93" s="36"/>
      <x:c r="E93" s="36"/>
      <x:c r="F93" s="36"/>
      <x:c r="G93" s="36"/>
    </x:row>
    <x:row r="94" ht="70" customHeight="1">
      <x:c r="A94" s="36"/>
      <x:c r="B94" s="36"/>
      <x:c r="C94" s="36"/>
      <x:c r="D94" s="36"/>
      <x:c r="E94" s="36"/>
      <x:c r="F94" s="36"/>
      <x:c r="G94" s="36"/>
    </x:row>
    <x:row r="95" ht="70" customHeight="1">
      <x:c r="A95" s="36"/>
      <x:c r="B95" s="36"/>
      <x:c r="C95" s="36"/>
      <x:c r="D95" s="36"/>
      <x:c r="E95" s="36"/>
      <x:c r="F95" s="36"/>
      <x:c r="G95" s="36"/>
    </x:row>
    <x:row r="96" ht="70" customHeight="1">
      <x:c r="A96" s="36"/>
      <x:c r="B96" s="36"/>
      <x:c r="C96" s="36"/>
      <x:c r="D96" s="36"/>
      <x:c r="E96" s="36"/>
      <x:c r="F96" s="36"/>
      <x:c r="G96" s="36"/>
    </x:row>
    <x:row r="97" ht="70" customHeight="1">
      <x:c r="A97" s="36"/>
      <x:c r="B97" s="36"/>
      <x:c r="C97" s="36"/>
      <x:c r="D97" s="36"/>
      <x:c r="E97" s="36"/>
      <x:c r="F97" s="36"/>
      <x:c r="G97" s="36"/>
    </x:row>
    <x:row r="98" ht="70" customHeight="1">
      <x:c r="A98" s="36"/>
      <x:c r="B98" s="36"/>
      <x:c r="C98" s="36"/>
      <x:c r="D98" s="36"/>
      <x:c r="E98" s="36"/>
      <x:c r="F98" s="36"/>
      <x:c r="G98" s="36"/>
    </x:row>
    <x:row r="99" ht="70" customHeight="1">
      <x:c r="A99" s="36"/>
      <x:c r="B99" s="36"/>
      <x:c r="C99" s="36"/>
      <x:c r="D99" s="36"/>
      <x:c r="E99" s="36"/>
      <x:c r="F99" s="36"/>
      <x:c r="G99" s="36"/>
    </x:row>
    <x:row r="100" ht="70" customHeight="1">
      <x:c r="A100" s="36"/>
      <x:c r="B100" s="36"/>
      <x:c r="C100" s="36"/>
      <x:c r="D100" s="36"/>
      <x:c r="E100" s="36"/>
      <x:c r="F100" s="36"/>
      <x:c r="G100" s="36"/>
    </x:row>
  </x:sheetData>
  <x:mergeCells>
    <x:mergeCell ref="A1:G1"/>
    <x:mergeCell ref="A2:G2"/>
    <x:mergeCell ref="A25:G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2" width="8" hidden="0" customWidth="1"/>
    <x:col min="3" max="5" width="8" hidden="0" customWidth="1"/>
    <x:col min="6" max="7" width="10" hidden="0" customWidth="1"/>
    <x:col min="8" max="8" width="12" hidden="0" customWidth="1"/>
    <x:col min="9" max="10" width="11" hidden="0" customWidth="1"/>
    <x:col min="11" max="11" width="12" hidden="0" customWidth="1"/>
    <x:col min="12" max="14" width="40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9" max="9" width="12" hidden="0" customWidth="1"/>
    <x:col min="10" max="10" width="14" hidden="0" customWidth="1"/>
    <x:col min="12" max="12" width="52" hidden="0" customWidth="1"/>
    <x:col min="13" max="13" width="48" hidden="0" customWidth="1"/>
    <x:col min="14" max="14" width="52" hidden="0" customWidth="1"/>
    <x:col min="15" max="15" width="50" hidden="0" customWidth="1"/>
  </x:cols>
  <x:sheetData>
    <x:row r="1" ht="34" hidden="0" customHeight="1">
      <x:c r="A1" s="31" t="s">
        <x:v>8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</x:row>
    <x:row r="2" ht="66" hidden="0" customHeight="1">
      <x:c r="A2" s="33" t="str">
        <x:v>Cruzamentos. Escore = média dos pesos dos fatores em pontos percentuais × impacto (1–5). A média evita premiar automaticamente combinações com mais fatores. Participação = escore / soma dos cinco selecionados. É julgamento de prioridade, não probabilidade. Impacto 5: pré-condição direta de captura; 4: defesa/entrada com efeito alto; 3: efeito habilitador ou condicionado. As justificativas e a sensibilidade constam da planilha.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55"/>
    </x:row>
    <x:row r="4" ht="36" hidden="0" customHeight="1">
      <x:c r="A4" s="38" t="str">
        <x:v>Cód.</x:v>
      </x:c>
      <x:c r="B4" s="38" t="str">
        <x:v>Tipo</x:v>
      </x:c>
      <x:c r="C4" s="38" t="str">
        <x:v>Fator 1</x:v>
      </x:c>
      <x:c r="D4" s="38" t="str">
        <x:v>Fator 2</x:v>
      </x:c>
      <x:c r="E4" s="38" t="str">
        <x:v>Fator 3</x:v>
      </x:c>
      <x:c r="F4" s="38" t="str">
        <x:v>Peso médio</x:v>
      </x:c>
      <x:c r="G4" s="38" t="str">
        <x:v>Impacto 1–5</x:v>
      </x:c>
      <x:c r="H4" s="38" t="str">
        <x:v>Escore (pp × impacto)</x:v>
      </x:c>
      <x:c r="I4" s="38" t="str">
        <x:v>Selecionado?</x:v>
      </x:c>
      <x:c r="J4" s="38" t="str">
        <x:v>Participação</x:v>
      </x:c>
      <x:c r="K4" s="38" t="str">
        <x:v>Ranking</x:v>
      </x:c>
      <x:c r="L4" s="38" t="str">
        <x:v>Problema / oportunidade</x:v>
      </x:c>
      <x:c r="M4" s="38" t="str">
        <x:v>Direção estratégica</x:v>
      </x:c>
      <x:c r="N4" s="38" t="str">
        <x:v>Recomendação</x:v>
      </x:c>
      <x:c r="O4" s="38" t="str">
        <x:v>Justificativa do impacto</x:v>
      </x:c>
    </x:row>
    <x:row r="5" ht="100" hidden="0" customHeight="1">
      <x:c r="A5" s="40" t="str">
        <x:v>X1</x:v>
      </x:c>
      <x:c r="B5" s="40" t="str">
        <x:v>WO</x:v>
      </x:c>
      <x:c r="C5" s="40" t="str">
        <x:v>W1</x:v>
      </x:c>
      <x:c r="D5" s="40" t="str">
        <x:v>W2</x:v>
      </x:c>
      <x:c r="E5" s="40" t="str">
        <x:v>O1</x:v>
      </x:c>
      <x:c r="F5" s="56" t="n">
        <x:f aca="0">(IF(C5="",0,INDEX('7 SWOT Ponderada'!$E$5:$E$18,MATCH(C5,'7 SWOT Ponderada'!$A$5:$A$18,0)))+IF(D5="",0,INDEX('7 SWOT Ponderada'!$E$5:$E$18,MATCH(D5,'7 SWOT Ponderada'!$A$5:$A$18,0)))+IF(E5="",0,INDEX('7 SWOT Ponderada'!$E$5:$E$18,MATCH(E5,'7 SWOT Ponderada'!$A$5:$A$18,0))))/COUNTA(C5:E5)</x:f>
        <x:v>0.10333333333333333</x:v>
      </x:c>
      <x:c r="G5" s="40" t="n">
        <x:v>5</x:v>
      </x:c>
      <x:c r="H5" s="44" t="n">
        <x:f aca="0">F5*100*G5</x:f>
        <x:v>51.66666666666667</x:v>
      </x:c>
      <x:c r="I5" s="40" t="str">
        <x:v>Sim</x:v>
      </x:c>
      <x:c r="J5" s="51" t="n">
        <x:f aca="0">IF(I5="Sim",H5/SUMIF($I$5:$I$10,"Sim",$H$5:$H$10),"—")</x:f>
        <x:v>0.31958762886597936</x:v>
      </x:c>
      <x:c r="K5" s="40" t="n">
        <x:f aca="0">RANK(H5,$H$5:$H$10,0)</x:f>
        <x:v>1</x:v>
      </x:c>
      <x:c r="L5" s="40" t="str">
        <x:v>A demanda por governança de IA não se converte sem oferta delimitada e prova de retorno.</x:v>
      </x:c>
      <x:c r="M5" s="40" t="str">
        <x:v>Corrigir antes de ampliar: definir oferta, indicadores e método de ROI.</x:v>
      </x:c>
      <x:c r="N5" s="40" t="str">
        <x:v>Definir proposta de valor, escopo e provas da oferta de governança de IA antes de comunicá-la.</x:v>
      </x:c>
      <x:c r="O5" s="40" t="str">
        <x:v>Oferta e prova são pré-condições da captura.</x:v>
      </x:c>
    </x:row>
    <x:row r="6" ht="100" hidden="0" customHeight="1">
      <x:c r="A6" s="39" t="str">
        <x:v>X2</x:v>
      </x:c>
      <x:c r="B6" s="39" t="str">
        <x:v>FO</x:v>
      </x:c>
      <x:c r="C6" s="39" t="str">
        <x:v>S1</x:v>
      </x:c>
      <x:c r="D6" s="39" t="str">
        <x:v>S3</x:v>
      </x:c>
      <x:c r="E6" s="39" t="str">
        <x:v>O1</x:v>
      </x:c>
      <x:c r="F6" s="57" t="n">
        <x:f aca="0">(IF(C6="",0,INDEX('7 SWOT Ponderada'!$E$5:$E$18,MATCH(C6,'7 SWOT Ponderada'!$A$5:$A$18,0)))+IF(D6="",0,INDEX('7 SWOT Ponderada'!$E$5:$E$18,MATCH(D6,'7 SWOT Ponderada'!$A$5:$A$18,0)))+IF(E6="",0,INDEX('7 SWOT Ponderada'!$E$5:$E$18,MATCH(E6,'7 SWOT Ponderada'!$A$5:$A$18,0))))/COUNTA(C6:E6)</x:f>
        <x:v>0.09333333333333334</x:v>
      </x:c>
      <x:c r="G6" s="39" t="n">
        <x:v>4</x:v>
      </x:c>
      <x:c r="H6" s="45" t="n">
        <x:f aca="0">F6*100*G6</x:f>
        <x:v>37.333333333333336</x:v>
      </x:c>
      <x:c r="I6" s="39" t="str">
        <x:v>Sim</x:v>
      </x:c>
      <x:c r="J6" s="52" t="n">
        <x:f aca="0">IF(I6="Sim",H6/SUMIF($I$5:$I$10,"Sim",$H$5:$H$10),"—")</x:f>
        <x:v>0.23092783505154638</x:v>
      </x:c>
      <x:c r="K6" s="39" t="n">
        <x:f aca="0">RANK(H6,$H$5:$H$10,0)</x:f>
        <x:v>2</x:v>
      </x:c>
      <x:c r="L6" s="39" t="str">
        <x:v>Relacionamento e base em saúde permitem testar governança de IA com clientes que já confiam na QSOFT.</x:v>
      </x:c>
      <x:c r="M6" s="39" t="str">
        <x:v>Lançar primeiro na base atual (saúde), com pilotos que gerem referências.</x:v>
      </x:c>
      <x:c r="N6" s="39" t="str">
        <x:v>Pilotos com clientes da base e cases de governança de IA em saúde.</x:v>
      </x:c>
      <x:c r="O6" s="39" t="str">
        <x:v>Base em saúde reduz fricção para validar, sem garantir compra.</x:v>
      </x:c>
    </x:row>
    <x:row r="7" ht="100" hidden="0" customHeight="1">
      <x:c r="A7" s="40" t="str">
        <x:v>X3</x:v>
      </x:c>
      <x:c r="B7" s="40" t="str">
        <x:v>FA</x:v>
      </x:c>
      <x:c r="C7" s="40" t="str">
        <x:v>S1</x:v>
      </x:c>
      <x:c r="D7" s="40" t="str">
        <x:v>S2</x:v>
      </x:c>
      <x:c r="E7" s="40" t="str">
        <x:v>T1</x:v>
      </x:c>
      <x:c r="F7" s="56" t="n">
        <x:f aca="0">(IF(C7="",0,INDEX('7 SWOT Ponderada'!$E$5:$E$18,MATCH(C7,'7 SWOT Ponderada'!$A$5:$A$18,0)))+IF(D7="",0,INDEX('7 SWOT Ponderada'!$E$5:$E$18,MATCH(D7,'7 SWOT Ponderada'!$A$5:$A$18,0)))+IF(E7="",0,INDEX('7 SWOT Ponderada'!$E$5:$E$18,MATCH(E7,'7 SWOT Ponderada'!$A$5:$A$18,0))))/COUNTA(C7:E7)</x:f>
        <x:v>0.08666666666666667</x:v>
      </x:c>
      <x:c r="G7" s="40" t="n">
        <x:v>4</x:v>
      </x:c>
      <x:c r="H7" s="44" t="n">
        <x:f aca="0">F7*100*G7</x:f>
        <x:v>34.66666666666667</x:v>
      </x:c>
      <x:c r="I7" s="40" t="str">
        <x:v>Sim</x:v>
      </x:c>
      <x:c r="J7" s="51" t="n">
        <x:f aca="0">IF(I7="Sim",H7/SUMIF($I$5:$I$10,"Sim",$H$5:$H$10),"—")</x:f>
        <x:v>0.21443298969072166</x:v>
      </x:c>
      <x:c r="K7" s="40" t="n">
        <x:f aca="0">RANK(H7,$H$5:$H$10,0)</x:f>
        <x:v>3</x:v>
      </x:c>
      <x:c r="L7" s="40" t="str">
        <x:v>Rivalidade e compradores fortes pressionam preço.</x:v>
      </x:c>
      <x:c r="M7" s="40" t="str">
        <x:v>Defender valor pela continuidade, integração e flexibilidade, não por desconto.</x:v>
      </x:c>
      <x:c r="N7" s="40" t="str">
        <x:v>Posicionamento de parceiro de longo prazo; expansão por áreas dentro das contas.</x:v>
      </x:c>
      <x:c r="O7" s="40" t="str">
        <x:v>Continuidade e integração podem defender valor.</x:v>
      </x:c>
    </x:row>
    <x:row r="8" ht="100" hidden="0" customHeight="1">
      <x:c r="A8" s="39" t="str">
        <x:v>X4</x:v>
      </x:c>
      <x:c r="B8" s="39" t="str">
        <x:v>WA</x:v>
      </x:c>
      <x:c r="C8" s="39" t="str">
        <x:v>W3</x:v>
      </x:c>
      <x:c r="D8" s="39" t="str">
        <x:v>T1</x:v>
      </x:c>
      <x:c r="E8" s="39" t="str">
        <x:v>T2</x:v>
      </x:c>
      <x:c r="F8" s="57" t="n">
        <x:f aca="0">(IF(C8="",0,INDEX('7 SWOT Ponderada'!$E$5:$E$18,MATCH(C8,'7 SWOT Ponderada'!$A$5:$A$18,0)))+IF(D8="",0,INDEX('7 SWOT Ponderada'!$E$5:$E$18,MATCH(D8,'7 SWOT Ponderada'!$A$5:$A$18,0)))+IF(E8="",0,INDEX('7 SWOT Ponderada'!$E$5:$E$18,MATCH(E8,'7 SWOT Ponderada'!$A$5:$A$18,0))))/COUNTA(C8:E8)</x:f>
        <x:v>0.07666666666666667</x:v>
      </x:c>
      <x:c r="G8" s="39" t="n">
        <x:v>3</x:v>
      </x:c>
      <x:c r="H8" s="45" t="n">
        <x:f aca="0">F8*100*G8</x:f>
        <x:v>23.000000000000004</x:v>
      </x:c>
      <x:c r="I8" s="39" t="str">
        <x:v>Sim</x:v>
      </x:c>
      <x:c r="J8" s="52" t="n">
        <x:f aca="0">IF(I8="Sim",H8/SUMIF($I$5:$I$10,"Sim",$H$5:$H$10),"—")</x:f>
        <x:v>0.1422680412371134</x:v>
      </x:c>
      <x:c r="K8" s="39" t="n">
        <x:f aca="0">RANK(H8,$H$5:$H$10,0)</x:f>
        <x:v>4</x:v>
      </x:c>
      <x:c r="L8" s="39" t="str">
        <x:v>Crescer sem capacidade expõe a QSOFT a atrasos, perda de qualidade e guerra de preço.</x:v>
      </x:c>
      <x:c r="M8" s="39" t="str">
        <x:v>Crescer no ritmo da capacidade; atrair e formar talentos.</x:v>
      </x:c>
      <x:c r="N8" s="39" t="str">
        <x:v>Marca empregadora; não prometer escala que não existe.</x:v>
      </x:c>
      <x:c r="O8" s="39" t="str">
        <x:v>Capacidade limita crescimento; efeito de marketing é indireto.</x:v>
      </x:c>
    </x:row>
    <x:row r="9" ht="100" hidden="0" customHeight="1">
      <x:c r="A9" s="40" t="str">
        <x:v>X5</x:v>
      </x:c>
      <x:c r="B9" s="40" t="str">
        <x:v>FO</x:v>
      </x:c>
      <x:c r="C9" s="40" t="str">
        <x:v>S4</x:v>
      </x:c>
      <x:c r="D9" s="40" t="str">
        <x:v>O3</x:v>
      </x:c>
      <x:c r="E9" s="40"/>
      <x:c r="F9" s="56" t="n">
        <x:f aca="0">(IF(C9="",0,INDEX('7 SWOT Ponderada'!$E$5:$E$18,MATCH(C9,'7 SWOT Ponderada'!$A$5:$A$18,0)))+IF(D9="",0,INDEX('7 SWOT Ponderada'!$E$5:$E$18,MATCH(D9,'7 SWOT Ponderada'!$A$5:$A$18,0)))+IF(E9="",0,INDEX('7 SWOT Ponderada'!$E$5:$E$18,MATCH(E9,'7 SWOT Ponderada'!$A$5:$A$18,0))))/COUNTA(C9:E9)</x:f>
        <x:v>0.05</x:v>
      </x:c>
      <x:c r="G9" s="40" t="n">
        <x:v>3</x:v>
      </x:c>
      <x:c r="H9" s="44" t="n">
        <x:f aca="0">F9*100*G9</x:f>
        <x:v>15</x:v>
      </x:c>
      <x:c r="I9" s="40" t="str">
        <x:v>Sim</x:v>
      </x:c>
      <x:c r="J9" s="51" t="n">
        <x:f aca="0">IF(I9="Sim",H9/SUMIF($I$5:$I$10,"Sim",$H$5:$H$10),"—")</x:f>
        <x:v>0.09278350515463916</x:v>
      </x:c>
      <x:c r="K9" s="40" t="n">
        <x:f aca="0">RANK(H9,$H$5:$H$10,0)</x:f>
        <x:v>5</x:v>
      </x:c>
      <x:c r="L9" s="40" t="str">
        <x:v>Equipe formadora e treinamentos podem atender à baixa literacia em IA.</x:v>
      </x:c>
      <x:c r="M9" s="40" t="str">
        <x:v>Usar treinamento como porta de entrada para projetos de governança.</x:v>
      </x:c>
      <x:c r="N9" s="40" t="str">
        <x:v>Trilhas de literacia em IA para empresas, com nutrição até o projeto.</x:v>
      </x:c>
      <x:c r="O9" s="40" t="str">
        <x:v>Canal existente; conversão não medida.</x:v>
      </x:c>
    </x:row>
    <x:row r="10" ht="100" hidden="0" customHeight="1">
      <x:c r="A10" s="39" t="str">
        <x:v>X6</x:v>
      </x:c>
      <x:c r="B10" s="39" t="str">
        <x:v>WO</x:v>
      </x:c>
      <x:c r="C10" s="39" t="str">
        <x:v>W4</x:v>
      </x:c>
      <x:c r="D10" s="39" t="str">
        <x:v>O2</x:v>
      </x:c>
      <x:c r="E10" s="39"/>
      <x:c r="F10" s="57" t="n">
        <x:f aca="0">(IF(C10="",0,INDEX('7 SWOT Ponderada'!$E$5:$E$18,MATCH(C10,'7 SWOT Ponderada'!$A$5:$A$18,0)))+IF(D10="",0,INDEX('7 SWOT Ponderada'!$E$5:$E$18,MATCH(D10,'7 SWOT Ponderada'!$A$5:$A$18,0)))+IF(E10="",0,INDEX('7 SWOT Ponderada'!$E$5:$E$18,MATCH(E10,'7 SWOT Ponderada'!$A$5:$A$18,0))))/COUNTA(C10:E10)</x:f>
        <x:v>0.045</x:v>
      </x:c>
      <x:c r="G10" s="39" t="n">
        <x:v>3</x:v>
      </x:c>
      <x:c r="H10" s="45" t="n">
        <x:f aca="0">F10*100*G10</x:f>
        <x:v>13.5</x:v>
      </x:c>
      <x:c r="I10" s="39" t="str">
        <x:v>Não</x:v>
      </x:c>
      <x:c r="J10" s="52" t="str">
        <x:f aca="0">IF(I10="Sim",H10/SUMIF($I$5:$I$10,"Sim",$H$5:$H$10),"—")</x:f>
        <x:v>—</x:v>
      </x:c>
      <x:c r="K10" s="39" t="n">
        <x:f aca="0">RANK(H10,$H$5:$H$10,0)</x:f>
        <x:v>6</x:v>
      </x:c>
      <x:c r="L10" s="39" t="str">
        <x:v>Investimento bancário não comprova demanda em seguros; referências específicas não verificadas.</x:v>
      </x:c>
      <x:c r="M10" s="39" t="str">
        <x:v>Explorar após validação setorial e da capacidade.</x:v>
      </x:c>
      <x:c r="N10" s="39" t="str">
        <x:v>Validar requisitos e casos antes de afirmar especialização em seguros.</x:v>
      </x:c>
      <x:c r="O10" s="39" t="str">
        <x:v>Exploração em financeiro depende de referências e validação em seguros.</x:v>
      </x:c>
    </x:row>
    <x:row r="11" ht="70" hidden="0" customHeight="1">
      <x:c r="A11" s="36"/>
      <x:c r="B11" s="36"/>
      <x:c r="C11" s="36"/>
      <x:c r="D11" s="36"/>
      <x:c r="E11" s="36"/>
      <x:c r="F11" s="36"/>
      <x:c r="G11" s="36" t="str">
        <x:v>Selecionados</x:v>
      </x:c>
      <x:c r="H11" s="46" t="n">
        <x:f aca="0">SUMIF(I5:I10,"Sim",H5:H10)</x:f>
        <x:v>161.66666666666669</x:v>
      </x:c>
      <x:c r="I11" s="36"/>
      <x:c r="J11" s="58" t="n">
        <x:f aca="0">SUM(J5:J10)</x:f>
        <x:v>0.9999999999999999</x:v>
      </x:c>
      <x:c r="K11" s="36"/>
      <x:c r="L11" s="36"/>
      <x:c r="M11" s="36"/>
      <x:c r="N11" s="36"/>
      <x:c r="O11" s="36"/>
    </x:row>
    <x:row r="12" ht="70" customHeight="1">
      <x:c r="A12" s="36"/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45" customHeight="1">
      <x:c r="A13" s="48" t="str">
        <x:v>Selecionam-se X1–X5. X6 depende de comprovar demanda e referências em seguros e não integra o peso das prioridades imediatas. A seleção é próxima no último lugar: X5=15 e X6=13,5; um aumento do impacto de X6 de 3 para 4 elevaria seu escore a 18. Essa sensibilidade exige revisar a decisão quando houver evidência setorial.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</x:row>
    <x:row r="14" ht="70" customHeight="1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36" customHeight="1">
      <x:c r="A15" s="38" t="str">
        <x:v>Cruzamento</x:v>
      </x:c>
      <x:c r="B15" s="38" t="str">
        <x:v>Expressão conceitual</x:v>
      </x:c>
      <x:c r="C15" s="38" t="str">
        <x:v>Escore</x:v>
      </x:c>
      <x:c r="D15" s="38" t="str">
        <x:v>Participação selecionada</x:v>
      </x:c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70" customHeight="1">
      <x:c r="A16" s="40" t="str">
        <x:v>X1</x:v>
      </x:c>
      <x:c r="B16" s="40" t="str">
        <x:v>(W1 + W2) × (O1)</x:v>
      </x:c>
      <x:c r="C16" s="44" t="n">
        <x:f>H5</x:f>
        <x:v>51.66666666666667</x:v>
      </x:c>
      <x:c r="D16" s="51" t="n">
        <x:f>J5</x:f>
        <x:v>0.31958762886597936</x:v>
      </x:c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70" customHeight="1">
      <x:c r="A17" s="39" t="str">
        <x:v>X2</x:v>
      </x:c>
      <x:c r="B17" s="39" t="str">
        <x:v>(S1 + S3) × (O1)</x:v>
      </x:c>
      <x:c r="C17" s="45" t="n">
        <x:f>H6</x:f>
        <x:v>37.333333333333336</x:v>
      </x:c>
      <x:c r="D17" s="52" t="n">
        <x:f>J6</x:f>
        <x:v>0.23092783505154638</x:v>
      </x:c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70" customHeight="1">
      <x:c r="A18" s="40" t="str">
        <x:v>X3</x:v>
      </x:c>
      <x:c r="B18" s="40" t="str">
        <x:v>(S1 + S2) × (T1)</x:v>
      </x:c>
      <x:c r="C18" s="44" t="n">
        <x:f>H7</x:f>
        <x:v>34.66666666666667</x:v>
      </x:c>
      <x:c r="D18" s="51" t="n">
        <x:f>J7</x:f>
        <x:v>0.21443298969072166</x:v>
      </x:c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70" customHeight="1">
      <x:c r="A19" s="39" t="str">
        <x:v>X4</x:v>
      </x:c>
      <x:c r="B19" s="39" t="str">
        <x:v>(W3) × (T1 + T2)</x:v>
      </x:c>
      <x:c r="C19" s="45" t="n">
        <x:f>H8</x:f>
        <x:v>23.000000000000004</x:v>
      </x:c>
      <x:c r="D19" s="52" t="n">
        <x:f>J8</x:f>
        <x:v>0.1422680412371134</x:v>
      </x:c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70" customHeight="1">
      <x:c r="A20" s="40" t="str">
        <x:v>X5</x:v>
      </x:c>
      <x:c r="B20" s="40" t="str">
        <x:v>(S4) × (O3)</x:v>
      </x:c>
      <x:c r="C20" s="44" t="n">
        <x:f>H9</x:f>
        <x:v>15</x:v>
      </x:c>
      <x:c r="D20" s="51" t="n">
        <x:f>J9</x:f>
        <x:v>0.09278350515463916</x:v>
      </x:c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70" customHeight="1">
      <x:c r="A21" s="39" t="str">
        <x:v>X6</x:v>
      </x:c>
      <x:c r="B21" s="39" t="str">
        <x:v>(W4) × (O2)</x:v>
      </x:c>
      <x:c r="C21" s="45" t="n">
        <x:f>H10</x:f>
        <x:v>13.5</x:v>
      </x:c>
      <x:c r="D21" s="52" t="str">
        <x:f>J10</x:f>
        <x:v>—</x:v>
      </x:c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70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50" customHeight="1">
      <x:c r="A23" s="48" t="str">
        <x:v>Sensibilidade: média × impacto evita favorecimento automático por quantidade de fatores, mas depende de seleção e julgamentos ordinais. Se impacto X6=4, escore=18 (supera X5=15). O ponto de corte é revisável; não se interpreta diferença de escore como retorno financeiro.</x:v>
      </x:c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7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7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7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7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70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70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  <x:c r="M32" s="36"/>
      <x:c r="N32" s="36"/>
      <x:c r="O32" s="36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  <x:c r="M33" s="36"/>
      <x:c r="N33" s="36"/>
      <x:c r="O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  <x:c r="M35" s="36"/>
      <x:c r="N35" s="36"/>
      <x:c r="O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  <x:c r="M36" s="36"/>
      <x:c r="N36" s="36"/>
      <x:c r="O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  <x:c r="M37" s="36"/>
      <x:c r="N37" s="36"/>
      <x:c r="O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  <x:c r="M38" s="36"/>
      <x:c r="N38" s="36"/>
      <x:c r="O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  <x:c r="M39" s="36"/>
      <x:c r="N39" s="36"/>
      <x:c r="O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  <x:c r="M40" s="36"/>
      <x:c r="N40" s="36"/>
      <x:c r="O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  <x:c r="M41" s="36"/>
      <x:c r="N41" s="36"/>
      <x:c r="O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  <x:c r="M42" s="36"/>
      <x:c r="N42" s="36"/>
      <x:c r="O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  <x:c r="M43" s="36"/>
      <x:c r="N43" s="36"/>
      <x:c r="O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  <x:c r="M44" s="36"/>
      <x:c r="N44" s="36"/>
      <x:c r="O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  <x:c r="M45" s="36"/>
      <x:c r="N45" s="36"/>
      <x:c r="O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  <x:c r="M46" s="36"/>
      <x:c r="N46" s="36"/>
      <x:c r="O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  <x:c r="M47" s="36"/>
      <x:c r="N47" s="36"/>
      <x:c r="O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  <x:c r="M48" s="36"/>
      <x:c r="N48" s="36"/>
      <x:c r="O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  <x:c r="M49" s="36"/>
      <x:c r="N49" s="36"/>
      <x:c r="O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  <x:c r="M50" s="36"/>
      <x:c r="N50" s="36"/>
      <x:c r="O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  <x:c r="M51" s="36"/>
      <x:c r="N51" s="36"/>
      <x:c r="O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  <x:c r="M52" s="36"/>
      <x:c r="N52" s="36"/>
      <x:c r="O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  <x:c r="M53" s="36"/>
      <x:c r="N53" s="36"/>
      <x:c r="O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  <x:c r="M54" s="36"/>
      <x:c r="N54" s="36"/>
      <x:c r="O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  <x:c r="M55" s="36"/>
      <x:c r="N55" s="36"/>
      <x:c r="O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  <x:c r="M56" s="36"/>
      <x:c r="N56" s="36"/>
      <x:c r="O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  <x:c r="M57" s="36"/>
      <x:c r="N57" s="36"/>
      <x:c r="O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  <x:c r="M58" s="36"/>
      <x:c r="N58" s="36"/>
      <x:c r="O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  <x:c r="M59" s="36"/>
      <x:c r="N59" s="36"/>
      <x:c r="O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  <x:c r="M60" s="36"/>
      <x:c r="N60" s="36"/>
      <x:c r="O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  <x:c r="M61" s="36"/>
      <x:c r="N61" s="36"/>
      <x:c r="O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  <x:c r="M62" s="36"/>
      <x:c r="N62" s="36"/>
      <x:c r="O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  <x:c r="M63" s="36"/>
      <x:c r="N63" s="36"/>
      <x:c r="O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  <x:c r="M64" s="36"/>
      <x:c r="N64" s="36"/>
      <x:c r="O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  <x:c r="M65" s="36"/>
      <x:c r="N65" s="36"/>
      <x:c r="O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  <x:c r="M66" s="36"/>
      <x:c r="N66" s="36"/>
      <x:c r="O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  <x:c r="M67" s="36"/>
      <x:c r="N67" s="36"/>
      <x:c r="O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  <x:c r="M68" s="36"/>
      <x:c r="N68" s="36"/>
      <x:c r="O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  <x:c r="M69" s="36"/>
      <x:c r="N69" s="36"/>
      <x:c r="O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  <x:c r="M70" s="36"/>
      <x:c r="N70" s="36"/>
      <x:c r="O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  <x:c r="M71" s="36"/>
      <x:c r="N71" s="36"/>
      <x:c r="O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  <x:c r="M72" s="36"/>
      <x:c r="N72" s="36"/>
      <x:c r="O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  <x:c r="M73" s="36"/>
      <x:c r="N73" s="36"/>
      <x:c r="O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  <x:c r="M74" s="36"/>
      <x:c r="N74" s="36"/>
      <x:c r="O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  <x:c r="M75" s="36"/>
      <x:c r="N75" s="36"/>
      <x:c r="O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  <x:c r="M76" s="36"/>
      <x:c r="N76" s="36"/>
      <x:c r="O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  <x:c r="M77" s="36"/>
      <x:c r="N77" s="36"/>
      <x:c r="O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  <x:c r="M78" s="36"/>
      <x:c r="N78" s="36"/>
      <x:c r="O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  <x:c r="M79" s="36"/>
      <x:c r="N79" s="36"/>
      <x:c r="O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  <x:c r="M80" s="36"/>
      <x:c r="N80" s="36"/>
      <x:c r="O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  <x:c r="M81" s="36"/>
      <x:c r="N81" s="36"/>
      <x:c r="O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  <x:c r="M82" s="36"/>
      <x:c r="N82" s="36"/>
      <x:c r="O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  <x:c r="M83" s="36"/>
      <x:c r="N83" s="36"/>
      <x:c r="O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  <x:c r="M84" s="36"/>
      <x:c r="N84" s="36"/>
      <x:c r="O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  <x:c r="M85" s="36"/>
      <x:c r="N85" s="36"/>
      <x:c r="O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  <x:c r="M86" s="36"/>
      <x:c r="N86" s="36"/>
      <x:c r="O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  <x:c r="M87" s="36"/>
      <x:c r="N87" s="36"/>
      <x:c r="O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  <x:c r="M88" s="36"/>
      <x:c r="N88" s="36"/>
      <x:c r="O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  <x:c r="M89" s="36"/>
      <x:c r="N89" s="36"/>
      <x:c r="O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  <x:c r="M90" s="36"/>
      <x:c r="N90" s="36"/>
      <x:c r="O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  <x:c r="M91" s="36"/>
      <x:c r="N91" s="36"/>
      <x:c r="O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  <x:c r="M92" s="36"/>
      <x:c r="N92" s="36"/>
      <x:c r="O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  <x:c r="M93" s="36"/>
      <x:c r="N93" s="36"/>
      <x:c r="O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  <x:c r="M94" s="36"/>
      <x:c r="N94" s="36"/>
      <x:c r="O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  <x:c r="M95" s="36"/>
      <x:c r="N95" s="36"/>
      <x:c r="O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  <x:c r="M96" s="36"/>
      <x:c r="N96" s="36"/>
      <x:c r="O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  <x:c r="M97" s="36"/>
      <x:c r="N97" s="36"/>
      <x:c r="O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  <x:c r="M98" s="36"/>
      <x:c r="N98" s="36"/>
      <x:c r="O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  <x:c r="M99" s="36"/>
      <x:c r="N99" s="36"/>
      <x:c r="O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  <x:c r="M100" s="36"/>
      <x:c r="N100" s="36"/>
      <x:c r="O100" s="36"/>
    </x:row>
  </x:sheetData>
  <x:mergeCells>
    <x:mergeCell ref="A1:O1"/>
    <x:mergeCell ref="A2:O2"/>
    <x:mergeCell ref="A13:O13"/>
    <x:mergeCell ref="A23:O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8.6796875" defaultRowHeight="15"/>
  <x:cols>
    <x:col min="1" max="1" width="9" hidden="0" customWidth="1"/>
    <x:col min="2" max="3" width="30" hidden="0" customWidth="1"/>
    <x:col min="4" max="4" width="52" hidden="0" customWidth="1"/>
    <x:col min="5" max="6" width="10" hidden="0" customWidth="1"/>
    <x:col min="7" max="7" width="13" hidden="0" customWidth="1"/>
    <x:col min="8" max="8" width="48" hidden="0" customWidth="1"/>
    <x:col min="9" max="9" width="60" hidden="0" customWidth="1"/>
    <x:col min="2" max="2" width="40" hidden="0" customWidth="1"/>
    <x:col min="3" max="3" width="54" hidden="0" customWidth="1"/>
    <x:col min="5" max="5" width="12" hidden="0" customWidth="1"/>
    <x:col min="6" max="6" width="12" hidden="0" customWidth="1"/>
    <x:col min="10" max="10" width="12" hidden="0" customWidth="1"/>
    <x:col min="11" max="11" width="12" hidden="0" customWidth="1"/>
    <x:col min="12" max="12" width="13" hidden="0" customWidth="1"/>
  </x:cols>
  <x:sheetData>
    <x:row r="1" ht="34" hidden="0" customHeight="1">
      <x:c r="A1" s="31" t="s">
        <x:v>9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</x:row>
    <x:row r="2" ht="66" hidden="0" customHeight="1">
      <x:c r="A2" s="33" t="str">
        <x:v>Peso final = urgência × impacto / soma dos escores (91). Escalas analíticas 1–5: 5 pré-condição imediata, 4 alta relevância, 3 desenvolvimento após validação. PR1/PR2 recebem 5×5 por condicionarem oferta/compra; PR3/PR4 4×4 por protegerem recorrência/capacidade; PR5 3×3 pela conversão ainda não medida. Não são parcelas orçamentárias. Seguros: exploração futura de X6, sem peso atual; validar demanda, referências e capacidade antes de priorizar.</x:v>
      </x:c>
      <x:c r="B2" s="33"/>
      <x:c r="C2" s="33"/>
      <x:c r="D2" s="33"/>
      <x:c r="E2" s="33"/>
      <x:c r="F2" s="33"/>
      <x:c r="G2" s="33"/>
      <x:c r="H2" s="33"/>
      <x:c r="I2" s="33"/>
      <x:c r="J2" s="55"/>
      <x:c r="K2" s="55"/>
      <x:c r="L2" s="55"/>
    </x:row>
    <x:row r="4" ht="36" hidden="0" customHeight="1">
      <x:c r="A4" s="38" t="str">
        <x:v>Cód.</x:v>
      </x:c>
      <x:c r="B4" s="38" t="str">
        <x:v>Prioridade</x:v>
      </x:c>
      <x:c r="C4" s="38" t="str">
        <x:v>Origem no diagnóstico</x:v>
      </x:c>
      <x:c r="D4" s="38" t="str">
        <x:v>Evidência</x:v>
      </x:c>
      <x:c r="E4" s="38" t="str">
        <x:v>Peso</x:v>
      </x:c>
      <x:c r="F4" s="38" t="str">
        <x:v>Urgência 1–5</x:v>
      </x:c>
      <x:c r="G4" s="38" t="str">
        <x:v>Impacto 1–5</x:v>
      </x:c>
      <x:c r="H4" s="38" t="str">
        <x:v>Impacto esperado</x:v>
      </x:c>
      <x:c r="I4" s="38" t="str">
        <x:v>Recomendação para Marketing</x:v>
      </x:c>
      <x:c r="J4" s="38" t="str">
        <x:v>Urgência cálculo</x:v>
      </x:c>
      <x:c r="K4" s="38" t="str">
        <x:v>Impacto cálculo</x:v>
      </x:c>
      <x:c r="L4" s="38" t="str">
        <x:v>Escore</x:v>
      </x:c>
    </x:row>
    <x:row r="5" ht="120" hidden="0" customHeight="1">
      <x:c r="A5" s="40" t="str">
        <x:v>PR1</x:v>
      </x:c>
      <x:c r="B5" s="40" t="str">
        <x:v>Delimitar e validar oferta de governança IA</x:v>
      </x:c>
      <x:c r="C5" s="40" t="str">
        <x:v>P1/P2, M2, F3, C3, I6/I10 → W1/O1 → X1/X2</x:v>
      </x:c>
      <x:c r="D5" s="40" t="str">
        <x:v>E02/Q06 e ofertas concorrentes E15/E19</x:v>
      </x:c>
      <x:c r="E5" s="56" t="n">
        <x:f>L5/SUM($L$5:$L$9)</x:f>
        <x:v>0.27472527472527475</x:v>
      </x:c>
      <x:c r="F5" s="40" t="n">
        <x:v>5</x:v>
      </x:c>
      <x:c r="G5" s="40" t="n">
        <x:v>5</x:v>
      </x:c>
      <x:c r="H5" s="40" t="str">
        <x:v>Reduzir risco de oferta genérica e testar contratação em saúde.</x:v>
      </x:c>
      <x:c r="I5" s="40" t="str">
        <x:v>Definir público, escopo, controles e indicadores; validar na base antes de ampliar comunicação.</x:v>
      </x:c>
      <x:c r="J5" s="40" t="n">
        <x:f>F5</x:f>
        <x:v>5</x:v>
      </x:c>
      <x:c r="K5" s="40" t="n">
        <x:f>G5</x:f>
        <x:v>5</x:v>
      </x:c>
      <x:c r="L5" s="40" t="n">
        <x:f>J5*K5</x:f>
        <x:v>25</x:v>
      </x:c>
    </x:row>
    <x:row r="6" ht="120" hidden="0" customHeight="1">
      <x:c r="A6" s="39" t="str">
        <x:v>PR2</x:v>
      </x:c>
      <x:c r="B6" s="39" t="str">
        <x:v>Padronizar prova de valor e mensuração</x:v>
      </x:c>
      <x:c r="C6" s="39" t="str">
        <x:v>P3, M1/M4, F1, C1, V3, I7/I9 → W2/T1 → X1</x:v>
      </x:c>
      <x:c r="D6" s="39" t="str">
        <x:v>E01/Q03/Q04: compra seletiva e métricas insuficientes</x:v>
      </x:c>
      <x:c r="E6" s="57" t="n">
        <x:f>L6/SUM($L$5:$L$9)</x:f>
        <x:v>0.27472527472527475</x:v>
      </x:c>
      <x:c r="F6" s="39" t="n">
        <x:v>5</x:v>
      </x:c>
      <x:c r="G6" s="39" t="n">
        <x:v>5</x:v>
      </x:c>
      <x:c r="H6" s="39" t="str">
        <x:v>Reduzir incerteza de compra e aprender com o funil.</x:v>
      </x:c>
      <x:c r="I6" s="39" t="str">
        <x:v>Linha de base e benefícios; distinguir produtividade de caixa; registrar origem e motivos de perda.</x:v>
      </x:c>
      <x:c r="J6" s="39" t="n">
        <x:f>F6</x:f>
        <x:v>5</x:v>
      </x:c>
      <x:c r="K6" s="39" t="n">
        <x:f>G6</x:f>
        <x:v>5</x:v>
      </x:c>
      <x:c r="L6" s="39" t="n">
        <x:f>J6*K6</x:f>
        <x:v>25</x:v>
      </x:c>
    </x:row>
    <x:row r="7" ht="120" hidden="0" customHeight="1">
      <x:c r="A7" s="40" t="str">
        <x:v>PR3</x:v>
      </x:c>
      <x:c r="B7" s="40" t="str">
        <x:v>Proteger continuidade e conhecimento</x:v>
      </x:c>
      <x:c r="C7" s="40" t="str">
        <x:v>FP1/FP2, C2, F2, I1/R1 → S1/S2/T1 → X3</x:v>
      </x:c>
      <x:c r="D7" s="40" t="str">
        <x:v>Q05/E12: relacionamento plurianual</x:v>
      </x:c>
      <x:c r="E7" s="56" t="n">
        <x:f>L7/SUM($L$5:$L$9)</x:f>
        <x:v>0.17582417582417584</x:v>
      </x:c>
      <x:c r="F7" s="40" t="n">
        <x:v>4</x:v>
      </x:c>
      <x:c r="G7" s="40" t="n">
        <x:v>4</x:v>
      </x:c>
      <x:c r="H7" s="40" t="str">
        <x:v>Sustentar recorrência e expansão por áreas.</x:v>
      </x:c>
      <x:c r="I7" s="40" t="str">
        <x:v>Gestão de contas e transferência de conhecimento; comunicar provas de continuidade.</x:v>
      </x:c>
      <x:c r="J7" s="40" t="n">
        <x:f>F7</x:f>
        <x:v>4</x:v>
      </x:c>
      <x:c r="K7" s="40" t="n">
        <x:f>G7</x:f>
        <x:v>4</x:v>
      </x:c>
      <x:c r="L7" s="40" t="n">
        <x:f>J7*K7</x:f>
        <x:v>16</x:v>
      </x:c>
    </x:row>
    <x:row r="8" ht="120" hidden="0" customHeight="1">
      <x:c r="A8" s="39" t="str">
        <x:v>PR4</x:v>
      </x:c>
      <x:c r="B8" s="39" t="str">
        <x:v>Desenvolver capacidade e marca empregadora</x:v>
      </x:c>
      <x:c r="C8" s="39" t="str">
        <x:v>P7, FP3, V1, I4/I11 → W3/T2 → X4</x:v>
      </x:c>
      <x:c r="D8" s="39" t="str">
        <x:v>Q02/Q08/E05: formação e disputa por competências</x:v>
      </x:c>
      <x:c r="E8" s="57" t="n">
        <x:f>L8/SUM($L$5:$L$9)</x:f>
        <x:v>0.17582417582417584</x:v>
      </x:c>
      <x:c r="F8" s="39" t="n">
        <x:v>4</x:v>
      </x:c>
      <x:c r="G8" s="39" t="n">
        <x:v>4</x:v>
      </x:c>
      <x:c r="H8" s="39" t="str">
        <x:v>Sustentar compromissos comerciais e qualidade.</x:v>
      </x:c>
      <x:c r="I8" s="39" t="str">
        <x:v>Alinhar venda à agenda; formação e retenção; padronizar aprendizado.</x:v>
      </x:c>
      <x:c r="J8" s="39" t="n">
        <x:f>F8</x:f>
        <x:v>4</x:v>
      </x:c>
      <x:c r="K8" s="39" t="n">
        <x:f>G8</x:f>
        <x:v>4</x:v>
      </x:c>
      <x:c r="L8" s="39" t="n">
        <x:f>J8*K8</x:f>
        <x:v>16</x:v>
      </x:c>
    </x:row>
    <x:row r="9" ht="120" hidden="0" customHeight="1">
      <x:c r="A9" s="40" t="str">
        <x:v>PR5</x:v>
      </x:c>
      <x:c r="B9" s="40" t="str">
        <x:v>Validar treinamento como entrada B2B</x:v>
      </x:c>
      <x:c r="C9" s="40" t="str">
        <x:v>P8, V4, C6 → S4/O3 → X5</x:v>
      </x:c>
      <x:c r="D9" s="40" t="str">
        <x:v>Q04: conversão estimada, sem série</x:v>
      </x:c>
      <x:c r="E9" s="56" t="n">
        <x:f>L9/SUM($L$5:$L$9)</x:f>
        <x:v>0.0989010989010989</x:v>
      </x:c>
      <x:c r="F9" s="40" t="n">
        <x:v>3</x:v>
      </x:c>
      <x:c r="G9" s="40" t="n">
        <x:v>3</x:v>
      </x:c>
      <x:c r="H9" s="40" t="str">
        <x:v>Qualificar demanda e desenvolver adoção.</x:v>
      </x:c>
      <x:c r="I9" s="40" t="str">
        <x:v>Trilhas corporativas ligadas à governança; medir conversão e custo antes de escalar.</x:v>
      </x:c>
      <x:c r="J9" s="40" t="n">
        <x:f>F9</x:f>
        <x:v>3</x:v>
      </x:c>
      <x:c r="K9" s="40" t="n">
        <x:f>G9</x:f>
        <x:v>3</x:v>
      </x:c>
      <x:c r="L9" s="40" t="n">
        <x:f>J9*K9</x:f>
        <x:v>9</x:v>
      </x:c>
    </x:row>
    <x:row r="10" ht="70" hidden="0" customHeight="1">
      <x:c r="A10" s="36"/>
      <x:c r="B10" s="36" t="str">
        <x:v>TOTAL</x:v>
      </x:c>
      <x:c r="C10" s="36"/>
      <x:c r="D10" s="36"/>
      <x:c r="E10" s="59" t="n">
        <x:f>SUM(E5:E9)</x:f>
        <x:v>1.0000000000000002</x:v>
      </x:c>
      <x:c r="F10" s="36"/>
      <x:c r="G10" s="36"/>
      <x:c r="H10" s="36"/>
      <x:c r="I10" s="36"/>
      <x:c r="J10" s="36"/>
      <x:c r="K10" s="36"/>
      <x:c r="L10" s="36" t="n">
        <x:f>SUM(L5:L9)</x:f>
        <x:v>91</x:v>
      </x:c>
    </x:row>
    <x:row r="11" ht="70" hidden="0" customHeight="1">
      <x:c r="A11" s="36"/>
      <x:c r="B11" s="36"/>
      <x:c r="C11" s="36"/>
      <x:c r="D11" s="36"/>
      <x:c r="E11" s="36">
        <x:f aca="0"/>
      </x:c>
      <x:c r="F11" s="36"/>
      <x:c r="G11" s="36"/>
      <x:c r="H11" s="36"/>
      <x:c r="I11" s="36"/>
      <x:c r="J11" s="36"/>
      <x:c r="K11" s="36"/>
      <x:c r="L11" s="36"/>
    </x:row>
    <x:row r="12" ht="50" customHeight="1">
      <x:c r="A12" s="48" t="str">
        <x:v>A matriz final traduz X1–X5 em cinco frentes. PR1/PR2 desdobram oferta e prova; PR3 deriva de X3; PR4 de X4; PR5 de X5. São direções para o próximo plano, sem campanhas, cronogramas ou promessa de resultado.</x:v>
      </x:c>
      <x:c r="B12" s="48"/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</x:row>
    <x:row r="13" ht="55" customHeight="1">
      <x:c r="A13" s="48" t="str">
        <x:v>Oportunidade futura condicionada — X6 / seguros: P4 → O2 e I8 → W4. Investimento bancário é contexto, sem demanda de seguradoras comprovada. Validar dor, orçamento, requisitos, referências e disponibilidade antes de incluir na priorização imediata. Sem peso atual.</x:v>
      </x:c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</x:row>
    <x:row r="14" ht="32" customHeight="1">
      <x:c r="A14" s="61" t="str">
        <x:v>Percentuais exibidos podem somar 99,99% por arredondamento; os cálculos usam precisão integral e somam 100%.</x:v>
      </x:c>
      <x:c r="B14" s="61"/>
      <x:c r="C14" s="61"/>
      <x:c r="D14" s="61"/>
      <x:c r="E14" s="61"/>
      <x:c r="F14" s="61"/>
      <x:c r="G14" s="61"/>
      <x:c r="H14" s="61"/>
      <x:c r="I14" s="61"/>
      <x:c r="J14" s="61"/>
      <x:c r="K14" s="61"/>
      <x:c r="L14" s="61"/>
    </x:row>
    <x:row r="15" ht="70" customHeight="1">
      <x:c r="A15" s="48" t="str">
        <x:v>A QSOFT poderá construir vantagem competitiva por meio de governança de dados e do uso corporativo de IA integrada aos processos e com benefícios mensuráveis, para organizações de saúde com operações de dados complexas, começando pela base atual, apoiando-se no conhecimento do cliente e nas referências do segmento, desenvolvendo a oferta, a prova de valor e a capacidade de entrega, e respondendo ao risco residual do uso não autorizado de IA, à seletividade dos investimentos e à pressão competitiva.</x:v>
      </x:c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</x:row>
    <x:row r="16" ht="70" customHeight="1">
      <x:c r="A16" s="36"/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</x:row>
    <x:row r="17" ht="70" customHeight="1">
      <x:c r="A17" s="36"/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</x:row>
    <x:row r="18" ht="70" customHeight="1">
      <x:c r="A18" s="36"/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</x:row>
    <x:row r="19" ht="70" customHeight="1">
      <x:c r="A19" s="36"/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</x:row>
    <x:row r="20" ht="70" customHeight="1">
      <x:c r="A20" s="36"/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</x:row>
    <x:row r="21" ht="70" customHeight="1">
      <x:c r="A21" s="36"/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</x:row>
    <x:row r="22" ht="70" customHeight="1">
      <x:c r="A22" s="36"/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</x:row>
    <x:row r="23" ht="70" customHeight="1">
      <x:c r="A23" s="36"/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</x:row>
    <x:row r="24" ht="70" customHeight="1">
      <x:c r="A24" s="36"/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</x:row>
    <x:row r="25" ht="70" customHeight="1">
      <x:c r="A25" s="36"/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</x:row>
    <x:row r="26" ht="70" customHeight="1">
      <x:c r="A26" s="36"/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70" customHeight="1">
      <x:c r="A27" s="36"/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70" customHeight="1">
      <x:c r="A28" s="36"/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70" customHeight="1">
      <x:c r="A29" s="36"/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 ht="70" customHeight="1">
      <x:c r="A30" s="36"/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 ht="70" customHeight="1">
      <x:c r="A31" s="36"/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2" ht="70" customHeight="1">
      <x:c r="A32" s="36"/>
      <x:c r="B32" s="36"/>
      <x:c r="C32" s="36"/>
      <x:c r="D32" s="36"/>
      <x:c r="E32" s="36"/>
      <x:c r="F32" s="36"/>
      <x:c r="G32" s="36"/>
      <x:c r="H32" s="36"/>
      <x:c r="I32" s="36"/>
      <x:c r="J32" s="36"/>
      <x:c r="K32" s="36"/>
      <x:c r="L32" s="36"/>
    </x:row>
    <x:row r="33" ht="70" customHeight="1">
      <x:c r="A33" s="36"/>
      <x:c r="B33" s="36"/>
      <x:c r="C33" s="36"/>
      <x:c r="D33" s="36"/>
      <x:c r="E33" s="36"/>
      <x:c r="F33" s="36"/>
      <x:c r="G33" s="36"/>
      <x:c r="H33" s="36"/>
      <x:c r="I33" s="36"/>
      <x:c r="J33" s="36"/>
      <x:c r="K33" s="36"/>
      <x:c r="L33" s="36"/>
    </x:row>
    <x:row r="34" ht="70" customHeight="1">
      <x:c r="A34" s="36"/>
      <x:c r="B34" s="36"/>
      <x:c r="C34" s="36"/>
      <x:c r="D34" s="36"/>
      <x:c r="E34" s="36"/>
      <x:c r="F34" s="36"/>
      <x:c r="G34" s="36"/>
      <x:c r="H34" s="36"/>
      <x:c r="I34" s="36"/>
      <x:c r="J34" s="36"/>
      <x:c r="K34" s="36"/>
      <x:c r="L34" s="36"/>
    </x:row>
    <x:row r="35" ht="70" customHeight="1">
      <x:c r="A35" s="36"/>
      <x:c r="B35" s="36"/>
      <x:c r="C35" s="36"/>
      <x:c r="D35" s="36"/>
      <x:c r="E35" s="36"/>
      <x:c r="F35" s="36"/>
      <x:c r="G35" s="36"/>
      <x:c r="H35" s="36"/>
      <x:c r="I35" s="36"/>
      <x:c r="J35" s="36"/>
      <x:c r="K35" s="36"/>
      <x:c r="L35" s="36"/>
    </x:row>
    <x:row r="36" ht="70" customHeight="1">
      <x:c r="A36" s="36"/>
      <x:c r="B36" s="36"/>
      <x:c r="C36" s="36"/>
      <x:c r="D36" s="36"/>
      <x:c r="E36" s="36"/>
      <x:c r="F36" s="36"/>
      <x:c r="G36" s="36"/>
      <x:c r="H36" s="36"/>
      <x:c r="I36" s="36"/>
      <x:c r="J36" s="36"/>
      <x:c r="K36" s="36"/>
      <x:c r="L36" s="36"/>
    </x:row>
    <x:row r="37" ht="70" customHeight="1">
      <x:c r="A37" s="36"/>
      <x:c r="B37" s="36"/>
      <x:c r="C37" s="36"/>
      <x:c r="D37" s="36"/>
      <x:c r="E37" s="36"/>
      <x:c r="F37" s="36"/>
      <x:c r="G37" s="36"/>
      <x:c r="H37" s="36"/>
      <x:c r="I37" s="36"/>
      <x:c r="J37" s="36"/>
      <x:c r="K37" s="36"/>
      <x:c r="L37" s="36"/>
    </x:row>
    <x:row r="38" ht="70" customHeight="1">
      <x:c r="A38" s="36"/>
      <x:c r="B38" s="36"/>
      <x:c r="C38" s="36"/>
      <x:c r="D38" s="36"/>
      <x:c r="E38" s="36"/>
      <x:c r="F38" s="36"/>
      <x:c r="G38" s="36"/>
      <x:c r="H38" s="36"/>
      <x:c r="I38" s="36"/>
      <x:c r="J38" s="36"/>
      <x:c r="K38" s="36"/>
      <x:c r="L38" s="36"/>
    </x:row>
    <x:row r="39" ht="70" customHeight="1">
      <x:c r="A39" s="36"/>
      <x:c r="B39" s="36"/>
      <x:c r="C39" s="36"/>
      <x:c r="D39" s="36"/>
      <x:c r="E39" s="36"/>
      <x:c r="F39" s="36"/>
      <x:c r="G39" s="36"/>
      <x:c r="H39" s="36"/>
      <x:c r="I39" s="36"/>
      <x:c r="J39" s="36"/>
      <x:c r="K39" s="36"/>
      <x:c r="L39" s="36"/>
    </x:row>
    <x:row r="40" ht="70" customHeight="1">
      <x:c r="A40" s="36"/>
      <x:c r="B40" s="36"/>
      <x:c r="C40" s="36"/>
      <x:c r="D40" s="36"/>
      <x:c r="E40" s="36"/>
      <x:c r="F40" s="36"/>
      <x:c r="G40" s="36"/>
      <x:c r="H40" s="36"/>
      <x:c r="I40" s="36"/>
      <x:c r="J40" s="36"/>
      <x:c r="K40" s="36"/>
      <x:c r="L40" s="36"/>
    </x:row>
    <x:row r="41" ht="70" customHeight="1">
      <x:c r="A41" s="36"/>
      <x:c r="B41" s="36"/>
      <x:c r="C41" s="36"/>
      <x:c r="D41" s="36"/>
      <x:c r="E41" s="36"/>
      <x:c r="F41" s="36"/>
      <x:c r="G41" s="36"/>
      <x:c r="H41" s="36"/>
      <x:c r="I41" s="36"/>
      <x:c r="J41" s="36"/>
      <x:c r="K41" s="36"/>
      <x:c r="L41" s="36"/>
    </x:row>
    <x:row r="42" ht="70" customHeight="1">
      <x:c r="A42" s="36"/>
      <x:c r="B42" s="36"/>
      <x:c r="C42" s="36"/>
      <x:c r="D42" s="36"/>
      <x:c r="E42" s="36"/>
      <x:c r="F42" s="36"/>
      <x:c r="G42" s="36"/>
      <x:c r="H42" s="36"/>
      <x:c r="I42" s="36"/>
      <x:c r="J42" s="36"/>
      <x:c r="K42" s="36"/>
      <x:c r="L42" s="36"/>
    </x:row>
    <x:row r="43" ht="70" customHeight="1">
      <x:c r="A43" s="36"/>
      <x:c r="B43" s="36"/>
      <x:c r="C43" s="36"/>
      <x:c r="D43" s="36"/>
      <x:c r="E43" s="36"/>
      <x:c r="F43" s="36"/>
      <x:c r="G43" s="36"/>
      <x:c r="H43" s="36"/>
      <x:c r="I43" s="36"/>
      <x:c r="J43" s="36"/>
      <x:c r="K43" s="36"/>
      <x:c r="L43" s="36"/>
    </x:row>
    <x:row r="44" ht="70" customHeight="1">
      <x:c r="A44" s="36"/>
      <x:c r="B44" s="36"/>
      <x:c r="C44" s="36"/>
      <x:c r="D44" s="36"/>
      <x:c r="E44" s="36"/>
      <x:c r="F44" s="36"/>
      <x:c r="G44" s="36"/>
      <x:c r="H44" s="36"/>
      <x:c r="I44" s="36"/>
      <x:c r="J44" s="36"/>
      <x:c r="K44" s="36"/>
      <x:c r="L44" s="36"/>
    </x:row>
    <x:row r="45" ht="70" customHeight="1">
      <x:c r="A45" s="36"/>
      <x:c r="B45" s="36"/>
      <x:c r="C45" s="36"/>
      <x:c r="D45" s="36"/>
      <x:c r="E45" s="36"/>
      <x:c r="F45" s="36"/>
      <x:c r="G45" s="36"/>
      <x:c r="H45" s="36"/>
      <x:c r="I45" s="36"/>
      <x:c r="J45" s="36"/>
      <x:c r="K45" s="36"/>
      <x:c r="L45" s="36"/>
    </x:row>
    <x:row r="46" ht="70" customHeight="1">
      <x:c r="A46" s="36"/>
      <x:c r="B46" s="36"/>
      <x:c r="C46" s="36"/>
      <x:c r="D46" s="36"/>
      <x:c r="E46" s="36"/>
      <x:c r="F46" s="36"/>
      <x:c r="G46" s="36"/>
      <x:c r="H46" s="36"/>
      <x:c r="I46" s="36"/>
      <x:c r="J46" s="36"/>
      <x:c r="K46" s="36"/>
      <x:c r="L46" s="36"/>
    </x:row>
    <x:row r="47" ht="70" customHeight="1">
      <x:c r="A47" s="36"/>
      <x:c r="B47" s="36"/>
      <x:c r="C47" s="36"/>
      <x:c r="D47" s="36"/>
      <x:c r="E47" s="36"/>
      <x:c r="F47" s="36"/>
      <x:c r="G47" s="36"/>
      <x:c r="H47" s="36"/>
      <x:c r="I47" s="36"/>
      <x:c r="J47" s="36"/>
      <x:c r="K47" s="36"/>
      <x:c r="L47" s="36"/>
    </x:row>
    <x:row r="48" ht="70" customHeight="1">
      <x:c r="A48" s="36"/>
      <x:c r="B48" s="36"/>
      <x:c r="C48" s="36"/>
      <x:c r="D48" s="36"/>
      <x:c r="E48" s="36"/>
      <x:c r="F48" s="36"/>
      <x:c r="G48" s="36"/>
      <x:c r="H48" s="36"/>
      <x:c r="I48" s="36"/>
      <x:c r="J48" s="36"/>
      <x:c r="K48" s="36"/>
      <x:c r="L48" s="36"/>
    </x:row>
    <x:row r="49" ht="70" customHeight="1">
      <x:c r="A49" s="36"/>
      <x:c r="B49" s="36"/>
      <x:c r="C49" s="36"/>
      <x:c r="D49" s="36"/>
      <x:c r="E49" s="36"/>
      <x:c r="F49" s="36"/>
      <x:c r="G49" s="36"/>
      <x:c r="H49" s="36"/>
      <x:c r="I49" s="36"/>
      <x:c r="J49" s="36"/>
      <x:c r="K49" s="36"/>
      <x:c r="L49" s="36"/>
    </x:row>
    <x:row r="50" ht="70" customHeight="1">
      <x:c r="A50" s="36"/>
      <x:c r="B50" s="36"/>
      <x:c r="C50" s="36"/>
      <x:c r="D50" s="36"/>
      <x:c r="E50" s="36"/>
      <x:c r="F50" s="36"/>
      <x:c r="G50" s="36"/>
      <x:c r="H50" s="36"/>
      <x:c r="I50" s="36"/>
      <x:c r="J50" s="36"/>
      <x:c r="K50" s="36"/>
      <x:c r="L50" s="36"/>
    </x:row>
    <x:row r="51" ht="70" customHeight="1">
      <x:c r="A51" s="36"/>
      <x:c r="B51" s="36"/>
      <x:c r="C51" s="36"/>
      <x:c r="D51" s="36"/>
      <x:c r="E51" s="36"/>
      <x:c r="F51" s="36"/>
      <x:c r="G51" s="36"/>
      <x:c r="H51" s="36"/>
      <x:c r="I51" s="36"/>
      <x:c r="J51" s="36"/>
      <x:c r="K51" s="36"/>
      <x:c r="L51" s="36"/>
    </x:row>
    <x:row r="52" ht="70" customHeight="1">
      <x:c r="A52" s="36"/>
      <x:c r="B52" s="36"/>
      <x:c r="C52" s="36"/>
      <x:c r="D52" s="36"/>
      <x:c r="E52" s="36"/>
      <x:c r="F52" s="36"/>
      <x:c r="G52" s="36"/>
      <x:c r="H52" s="36"/>
      <x:c r="I52" s="36"/>
      <x:c r="J52" s="36"/>
      <x:c r="K52" s="36"/>
      <x:c r="L52" s="36"/>
    </x:row>
    <x:row r="53" ht="70" customHeight="1">
      <x:c r="A53" s="36"/>
      <x:c r="B53" s="36"/>
      <x:c r="C53" s="36"/>
      <x:c r="D53" s="36"/>
      <x:c r="E53" s="36"/>
      <x:c r="F53" s="36"/>
      <x:c r="G53" s="36"/>
      <x:c r="H53" s="36"/>
      <x:c r="I53" s="36"/>
      <x:c r="J53" s="36"/>
      <x:c r="K53" s="36"/>
      <x:c r="L53" s="36"/>
    </x:row>
    <x:row r="54" ht="70" customHeight="1">
      <x:c r="A54" s="36"/>
      <x:c r="B54" s="36"/>
      <x:c r="C54" s="36"/>
      <x:c r="D54" s="36"/>
      <x:c r="E54" s="36"/>
      <x:c r="F54" s="36"/>
      <x:c r="G54" s="36"/>
      <x:c r="H54" s="36"/>
      <x:c r="I54" s="36"/>
      <x:c r="J54" s="36"/>
      <x:c r="K54" s="36"/>
      <x:c r="L54" s="36"/>
    </x:row>
    <x:row r="55" ht="70" customHeight="1">
      <x:c r="A55" s="36"/>
      <x:c r="B55" s="36"/>
      <x:c r="C55" s="36"/>
      <x:c r="D55" s="36"/>
      <x:c r="E55" s="36"/>
      <x:c r="F55" s="36"/>
      <x:c r="G55" s="36"/>
      <x:c r="H55" s="36"/>
      <x:c r="I55" s="36"/>
      <x:c r="J55" s="36"/>
      <x:c r="K55" s="36"/>
      <x:c r="L55" s="36"/>
    </x:row>
    <x:row r="56" ht="70" customHeight="1">
      <x:c r="A56" s="36"/>
      <x:c r="B56" s="36"/>
      <x:c r="C56" s="36"/>
      <x:c r="D56" s="36"/>
      <x:c r="E56" s="36"/>
      <x:c r="F56" s="36"/>
      <x:c r="G56" s="36"/>
      <x:c r="H56" s="36"/>
      <x:c r="I56" s="36"/>
      <x:c r="J56" s="36"/>
      <x:c r="K56" s="36"/>
      <x:c r="L56" s="36"/>
    </x:row>
    <x:row r="57" ht="70" customHeight="1">
      <x:c r="A57" s="36"/>
      <x:c r="B57" s="36"/>
      <x:c r="C57" s="36"/>
      <x:c r="D57" s="36"/>
      <x:c r="E57" s="36"/>
      <x:c r="F57" s="36"/>
      <x:c r="G57" s="36"/>
      <x:c r="H57" s="36"/>
      <x:c r="I57" s="36"/>
      <x:c r="J57" s="36"/>
      <x:c r="K57" s="36"/>
      <x:c r="L57" s="36"/>
    </x:row>
    <x:row r="58" ht="70" customHeight="1">
      <x:c r="A58" s="36"/>
      <x:c r="B58" s="36"/>
      <x:c r="C58" s="36"/>
      <x:c r="D58" s="36"/>
      <x:c r="E58" s="36"/>
      <x:c r="F58" s="36"/>
      <x:c r="G58" s="36"/>
      <x:c r="H58" s="36"/>
      <x:c r="I58" s="36"/>
      <x:c r="J58" s="36"/>
      <x:c r="K58" s="36"/>
      <x:c r="L58" s="36"/>
    </x:row>
    <x:row r="59" ht="70" customHeight="1">
      <x:c r="A59" s="36"/>
      <x:c r="B59" s="36"/>
      <x:c r="C59" s="36"/>
      <x:c r="D59" s="36"/>
      <x:c r="E59" s="36"/>
      <x:c r="F59" s="36"/>
      <x:c r="G59" s="36"/>
      <x:c r="H59" s="36"/>
      <x:c r="I59" s="36"/>
      <x:c r="J59" s="36"/>
      <x:c r="K59" s="36"/>
      <x:c r="L59" s="36"/>
    </x:row>
    <x:row r="60" ht="70" customHeight="1">
      <x:c r="A60" s="36"/>
      <x:c r="B60" s="36"/>
      <x:c r="C60" s="36"/>
      <x:c r="D60" s="36"/>
      <x:c r="E60" s="36"/>
      <x:c r="F60" s="36"/>
      <x:c r="G60" s="36"/>
      <x:c r="H60" s="36"/>
      <x:c r="I60" s="36"/>
      <x:c r="J60" s="36"/>
      <x:c r="K60" s="36"/>
      <x:c r="L60" s="36"/>
    </x:row>
    <x:row r="61" ht="70" customHeight="1">
      <x:c r="A61" s="36"/>
      <x:c r="B61" s="36"/>
      <x:c r="C61" s="36"/>
      <x:c r="D61" s="36"/>
      <x:c r="E61" s="36"/>
      <x:c r="F61" s="36"/>
      <x:c r="G61" s="36"/>
      <x:c r="H61" s="36"/>
      <x:c r="I61" s="36"/>
      <x:c r="J61" s="36"/>
      <x:c r="K61" s="36"/>
      <x:c r="L61" s="36"/>
    </x:row>
    <x:row r="62" ht="70" customHeight="1">
      <x:c r="A62" s="36"/>
      <x:c r="B62" s="36"/>
      <x:c r="C62" s="36"/>
      <x:c r="D62" s="36"/>
      <x:c r="E62" s="36"/>
      <x:c r="F62" s="36"/>
      <x:c r="G62" s="36"/>
      <x:c r="H62" s="36"/>
      <x:c r="I62" s="36"/>
      <x:c r="J62" s="36"/>
      <x:c r="K62" s="36"/>
      <x:c r="L62" s="36"/>
    </x:row>
    <x:row r="63" ht="70" customHeight="1">
      <x:c r="A63" s="36"/>
      <x:c r="B63" s="36"/>
      <x:c r="C63" s="36"/>
      <x:c r="D63" s="36"/>
      <x:c r="E63" s="36"/>
      <x:c r="F63" s="36"/>
      <x:c r="G63" s="36"/>
      <x:c r="H63" s="36"/>
      <x:c r="I63" s="36"/>
      <x:c r="J63" s="36"/>
      <x:c r="K63" s="36"/>
      <x:c r="L63" s="36"/>
    </x:row>
    <x:row r="64" ht="70" customHeight="1">
      <x:c r="A64" s="36"/>
      <x:c r="B64" s="36"/>
      <x:c r="C64" s="36"/>
      <x:c r="D64" s="36"/>
      <x:c r="E64" s="36"/>
      <x:c r="F64" s="36"/>
      <x:c r="G64" s="36"/>
      <x:c r="H64" s="36"/>
      <x:c r="I64" s="36"/>
      <x:c r="J64" s="36"/>
      <x:c r="K64" s="36"/>
      <x:c r="L64" s="36"/>
    </x:row>
    <x:row r="65" ht="70" customHeight="1">
      <x:c r="A65" s="36"/>
      <x:c r="B65" s="36"/>
      <x:c r="C65" s="36"/>
      <x:c r="D65" s="36"/>
      <x:c r="E65" s="36"/>
      <x:c r="F65" s="36"/>
      <x:c r="G65" s="36"/>
      <x:c r="H65" s="36"/>
      <x:c r="I65" s="36"/>
      <x:c r="J65" s="36"/>
      <x:c r="K65" s="36"/>
      <x:c r="L65" s="36"/>
    </x:row>
    <x:row r="66" ht="70" customHeight="1">
      <x:c r="A66" s="36"/>
      <x:c r="B66" s="36"/>
      <x:c r="C66" s="36"/>
      <x:c r="D66" s="36"/>
      <x:c r="E66" s="36"/>
      <x:c r="F66" s="36"/>
      <x:c r="G66" s="36"/>
      <x:c r="H66" s="36"/>
      <x:c r="I66" s="36"/>
      <x:c r="J66" s="36"/>
      <x:c r="K66" s="36"/>
      <x:c r="L66" s="36"/>
    </x:row>
    <x:row r="67" ht="70" customHeight="1">
      <x:c r="A67" s="36"/>
      <x:c r="B67" s="36"/>
      <x:c r="C67" s="36"/>
      <x:c r="D67" s="36"/>
      <x:c r="E67" s="36"/>
      <x:c r="F67" s="36"/>
      <x:c r="G67" s="36"/>
      <x:c r="H67" s="36"/>
      <x:c r="I67" s="36"/>
      <x:c r="J67" s="36"/>
      <x:c r="K67" s="36"/>
      <x:c r="L67" s="36"/>
    </x:row>
    <x:row r="68" ht="70" customHeight="1">
      <x:c r="A68" s="36"/>
      <x:c r="B68" s="36"/>
      <x:c r="C68" s="36"/>
      <x:c r="D68" s="36"/>
      <x:c r="E68" s="36"/>
      <x:c r="F68" s="36"/>
      <x:c r="G68" s="36"/>
      <x:c r="H68" s="36"/>
      <x:c r="I68" s="36"/>
      <x:c r="J68" s="36"/>
      <x:c r="K68" s="36"/>
      <x:c r="L68" s="36"/>
    </x:row>
    <x:row r="69" ht="70" customHeight="1">
      <x:c r="A69" s="36"/>
      <x:c r="B69" s="36"/>
      <x:c r="C69" s="36"/>
      <x:c r="D69" s="36"/>
      <x:c r="E69" s="36"/>
      <x:c r="F69" s="36"/>
      <x:c r="G69" s="36"/>
      <x:c r="H69" s="36"/>
      <x:c r="I69" s="36"/>
      <x:c r="J69" s="36"/>
      <x:c r="K69" s="36"/>
      <x:c r="L69" s="36"/>
    </x:row>
    <x:row r="70" ht="70" customHeight="1">
      <x:c r="A70" s="36"/>
      <x:c r="B70" s="36"/>
      <x:c r="C70" s="36"/>
      <x:c r="D70" s="36"/>
      <x:c r="E70" s="36"/>
      <x:c r="F70" s="36"/>
      <x:c r="G70" s="36"/>
      <x:c r="H70" s="36"/>
      <x:c r="I70" s="36"/>
      <x:c r="J70" s="36"/>
      <x:c r="K70" s="36"/>
      <x:c r="L70" s="36"/>
    </x:row>
    <x:row r="71" ht="70" customHeight="1">
      <x:c r="A71" s="36"/>
      <x:c r="B71" s="36"/>
      <x:c r="C71" s="36"/>
      <x:c r="D71" s="36"/>
      <x:c r="E71" s="36"/>
      <x:c r="F71" s="36"/>
      <x:c r="G71" s="36"/>
      <x:c r="H71" s="36"/>
      <x:c r="I71" s="36"/>
      <x:c r="J71" s="36"/>
      <x:c r="K71" s="36"/>
      <x:c r="L71" s="36"/>
    </x:row>
    <x:row r="72" ht="70" customHeight="1">
      <x:c r="A72" s="36"/>
      <x:c r="B72" s="36"/>
      <x:c r="C72" s="36"/>
      <x:c r="D72" s="36"/>
      <x:c r="E72" s="36"/>
      <x:c r="F72" s="36"/>
      <x:c r="G72" s="36"/>
      <x:c r="H72" s="36"/>
      <x:c r="I72" s="36"/>
      <x:c r="J72" s="36"/>
      <x:c r="K72" s="36"/>
      <x:c r="L72" s="36"/>
    </x:row>
    <x:row r="73" ht="70" customHeight="1">
      <x:c r="A73" s="36"/>
      <x:c r="B73" s="36"/>
      <x:c r="C73" s="36"/>
      <x:c r="D73" s="36"/>
      <x:c r="E73" s="36"/>
      <x:c r="F73" s="36"/>
      <x:c r="G73" s="36"/>
      <x:c r="H73" s="36"/>
      <x:c r="I73" s="36"/>
      <x:c r="J73" s="36"/>
      <x:c r="K73" s="36"/>
      <x:c r="L73" s="36"/>
    </x:row>
    <x:row r="74" ht="70" customHeight="1">
      <x:c r="A74" s="36"/>
      <x:c r="B74" s="36"/>
      <x:c r="C74" s="36"/>
      <x:c r="D74" s="36"/>
      <x:c r="E74" s="36"/>
      <x:c r="F74" s="36"/>
      <x:c r="G74" s="36"/>
      <x:c r="H74" s="36"/>
      <x:c r="I74" s="36"/>
      <x:c r="J74" s="36"/>
      <x:c r="K74" s="36"/>
      <x:c r="L74" s="36"/>
    </x:row>
    <x:row r="75" ht="70" customHeight="1">
      <x:c r="A75" s="36"/>
      <x:c r="B75" s="36"/>
      <x:c r="C75" s="36"/>
      <x:c r="D75" s="36"/>
      <x:c r="E75" s="36"/>
      <x:c r="F75" s="36"/>
      <x:c r="G75" s="36"/>
      <x:c r="H75" s="36"/>
      <x:c r="I75" s="36"/>
      <x:c r="J75" s="36"/>
      <x:c r="K75" s="36"/>
      <x:c r="L75" s="36"/>
    </x:row>
    <x:row r="76" ht="70" customHeight="1">
      <x:c r="A76" s="36"/>
      <x:c r="B76" s="36"/>
      <x:c r="C76" s="36"/>
      <x:c r="D76" s="36"/>
      <x:c r="E76" s="36"/>
      <x:c r="F76" s="36"/>
      <x:c r="G76" s="36"/>
      <x:c r="H76" s="36"/>
      <x:c r="I76" s="36"/>
      <x:c r="J76" s="36"/>
      <x:c r="K76" s="36"/>
      <x:c r="L76" s="36"/>
    </x:row>
    <x:row r="77" ht="70" customHeight="1">
      <x:c r="A77" s="36"/>
      <x:c r="B77" s="36"/>
      <x:c r="C77" s="36"/>
      <x:c r="D77" s="36"/>
      <x:c r="E77" s="36"/>
      <x:c r="F77" s="36"/>
      <x:c r="G77" s="36"/>
      <x:c r="H77" s="36"/>
      <x:c r="I77" s="36"/>
      <x:c r="J77" s="36"/>
      <x:c r="K77" s="36"/>
      <x:c r="L77" s="36"/>
    </x:row>
    <x:row r="78" ht="70" customHeight="1">
      <x:c r="A78" s="36"/>
      <x:c r="B78" s="36"/>
      <x:c r="C78" s="36"/>
      <x:c r="D78" s="36"/>
      <x:c r="E78" s="36"/>
      <x:c r="F78" s="36"/>
      <x:c r="G78" s="36"/>
      <x:c r="H78" s="36"/>
      <x:c r="I78" s="36"/>
      <x:c r="J78" s="36"/>
      <x:c r="K78" s="36"/>
      <x:c r="L78" s="36"/>
    </x:row>
    <x:row r="79" ht="70" customHeight="1">
      <x:c r="A79" s="36"/>
      <x:c r="B79" s="36"/>
      <x:c r="C79" s="36"/>
      <x:c r="D79" s="36"/>
      <x:c r="E79" s="36"/>
      <x:c r="F79" s="36"/>
      <x:c r="G79" s="36"/>
      <x:c r="H79" s="36"/>
      <x:c r="I79" s="36"/>
      <x:c r="J79" s="36"/>
      <x:c r="K79" s="36"/>
      <x:c r="L79" s="36"/>
    </x:row>
    <x:row r="80" ht="70" customHeight="1">
      <x:c r="A80" s="36"/>
      <x:c r="B80" s="36"/>
      <x:c r="C80" s="36"/>
      <x:c r="D80" s="36"/>
      <x:c r="E80" s="36"/>
      <x:c r="F80" s="36"/>
      <x:c r="G80" s="36"/>
      <x:c r="H80" s="36"/>
      <x:c r="I80" s="36"/>
      <x:c r="J80" s="36"/>
      <x:c r="K80" s="36"/>
      <x:c r="L80" s="36"/>
    </x:row>
    <x:row r="81" ht="70" customHeight="1">
      <x:c r="A81" s="36"/>
      <x:c r="B81" s="36"/>
      <x:c r="C81" s="36"/>
      <x:c r="D81" s="36"/>
      <x:c r="E81" s="36"/>
      <x:c r="F81" s="36"/>
      <x:c r="G81" s="36"/>
      <x:c r="H81" s="36"/>
      <x:c r="I81" s="36"/>
      <x:c r="J81" s="36"/>
      <x:c r="K81" s="36"/>
      <x:c r="L81" s="36"/>
    </x:row>
    <x:row r="82" ht="70" customHeight="1">
      <x:c r="A82" s="36"/>
      <x:c r="B82" s="36"/>
      <x:c r="C82" s="36"/>
      <x:c r="D82" s="36"/>
      <x:c r="E82" s="36"/>
      <x:c r="F82" s="36"/>
      <x:c r="G82" s="36"/>
      <x:c r="H82" s="36"/>
      <x:c r="I82" s="36"/>
      <x:c r="J82" s="36"/>
      <x:c r="K82" s="36"/>
      <x:c r="L82" s="36"/>
    </x:row>
    <x:row r="83" ht="70" customHeight="1">
      <x:c r="A83" s="36"/>
      <x:c r="B83" s="36"/>
      <x:c r="C83" s="36"/>
      <x:c r="D83" s="36"/>
      <x:c r="E83" s="36"/>
      <x:c r="F83" s="36"/>
      <x:c r="G83" s="36"/>
      <x:c r="H83" s="36"/>
      <x:c r="I83" s="36"/>
      <x:c r="J83" s="36"/>
      <x:c r="K83" s="36"/>
      <x:c r="L83" s="36"/>
    </x:row>
    <x:row r="84" ht="70" customHeight="1">
      <x:c r="A84" s="36"/>
      <x:c r="B84" s="36"/>
      <x:c r="C84" s="36"/>
      <x:c r="D84" s="36"/>
      <x:c r="E84" s="36"/>
      <x:c r="F84" s="36"/>
      <x:c r="G84" s="36"/>
      <x:c r="H84" s="36"/>
      <x:c r="I84" s="36"/>
      <x:c r="J84" s="36"/>
      <x:c r="K84" s="36"/>
      <x:c r="L84" s="36"/>
    </x:row>
    <x:row r="85" ht="70" customHeight="1">
      <x:c r="A85" s="36"/>
      <x:c r="B85" s="36"/>
      <x:c r="C85" s="36"/>
      <x:c r="D85" s="36"/>
      <x:c r="E85" s="36"/>
      <x:c r="F85" s="36"/>
      <x:c r="G85" s="36"/>
      <x:c r="H85" s="36"/>
      <x:c r="I85" s="36"/>
      <x:c r="J85" s="36"/>
      <x:c r="K85" s="36"/>
      <x:c r="L85" s="36"/>
    </x:row>
    <x:row r="86" ht="70" customHeight="1">
      <x:c r="A86" s="36"/>
      <x:c r="B86" s="36"/>
      <x:c r="C86" s="36"/>
      <x:c r="D86" s="36"/>
      <x:c r="E86" s="36"/>
      <x:c r="F86" s="36"/>
      <x:c r="G86" s="36"/>
      <x:c r="H86" s="36"/>
      <x:c r="I86" s="36"/>
      <x:c r="J86" s="36"/>
      <x:c r="K86" s="36"/>
      <x:c r="L86" s="36"/>
    </x:row>
    <x:row r="87" ht="70" customHeight="1">
      <x:c r="A87" s="36"/>
      <x:c r="B87" s="36"/>
      <x:c r="C87" s="36"/>
      <x:c r="D87" s="36"/>
      <x:c r="E87" s="36"/>
      <x:c r="F87" s="36"/>
      <x:c r="G87" s="36"/>
      <x:c r="H87" s="36"/>
      <x:c r="I87" s="36"/>
      <x:c r="J87" s="36"/>
      <x:c r="K87" s="36"/>
      <x:c r="L87" s="36"/>
    </x:row>
    <x:row r="88" ht="70" customHeight="1">
      <x:c r="A88" s="36"/>
      <x:c r="B88" s="36"/>
      <x:c r="C88" s="36"/>
      <x:c r="D88" s="36"/>
      <x:c r="E88" s="36"/>
      <x:c r="F88" s="36"/>
      <x:c r="G88" s="36"/>
      <x:c r="H88" s="36"/>
      <x:c r="I88" s="36"/>
      <x:c r="J88" s="36"/>
      <x:c r="K88" s="36"/>
      <x:c r="L88" s="36"/>
    </x:row>
    <x:row r="89" ht="70" customHeight="1">
      <x:c r="A89" s="36"/>
      <x:c r="B89" s="36"/>
      <x:c r="C89" s="36"/>
      <x:c r="D89" s="36"/>
      <x:c r="E89" s="36"/>
      <x:c r="F89" s="36"/>
      <x:c r="G89" s="36"/>
      <x:c r="H89" s="36"/>
      <x:c r="I89" s="36"/>
      <x:c r="J89" s="36"/>
      <x:c r="K89" s="36"/>
      <x:c r="L89" s="36"/>
    </x:row>
    <x:row r="90" ht="70" customHeight="1">
      <x:c r="A90" s="36"/>
      <x:c r="B90" s="36"/>
      <x:c r="C90" s="36"/>
      <x:c r="D90" s="36"/>
      <x:c r="E90" s="36"/>
      <x:c r="F90" s="36"/>
      <x:c r="G90" s="36"/>
      <x:c r="H90" s="36"/>
      <x:c r="I90" s="36"/>
      <x:c r="J90" s="36"/>
      <x:c r="K90" s="36"/>
      <x:c r="L90" s="36"/>
    </x:row>
    <x:row r="91" ht="70" customHeight="1">
      <x:c r="A91" s="36"/>
      <x:c r="B91" s="36"/>
      <x:c r="C91" s="36"/>
      <x:c r="D91" s="36"/>
      <x:c r="E91" s="36"/>
      <x:c r="F91" s="36"/>
      <x:c r="G91" s="36"/>
      <x:c r="H91" s="36"/>
      <x:c r="I91" s="36"/>
      <x:c r="J91" s="36"/>
      <x:c r="K91" s="36"/>
      <x:c r="L91" s="36"/>
    </x:row>
    <x:row r="92" ht="70" customHeight="1">
      <x:c r="A92" s="36"/>
      <x:c r="B92" s="36"/>
      <x:c r="C92" s="36"/>
      <x:c r="D92" s="36"/>
      <x:c r="E92" s="36"/>
      <x:c r="F92" s="36"/>
      <x:c r="G92" s="36"/>
      <x:c r="H92" s="36"/>
      <x:c r="I92" s="36"/>
      <x:c r="J92" s="36"/>
      <x:c r="K92" s="36"/>
      <x:c r="L92" s="36"/>
    </x:row>
    <x:row r="93" ht="70" customHeight="1">
      <x:c r="A93" s="36"/>
      <x:c r="B93" s="36"/>
      <x:c r="C93" s="36"/>
      <x:c r="D93" s="36"/>
      <x:c r="E93" s="36"/>
      <x:c r="F93" s="36"/>
      <x:c r="G93" s="36"/>
      <x:c r="H93" s="36"/>
      <x:c r="I93" s="36"/>
      <x:c r="J93" s="36"/>
      <x:c r="K93" s="36"/>
      <x:c r="L93" s="36"/>
    </x:row>
    <x:row r="94" ht="70" customHeight="1">
      <x:c r="A94" s="36"/>
      <x:c r="B94" s="36"/>
      <x:c r="C94" s="36"/>
      <x:c r="D94" s="36"/>
      <x:c r="E94" s="36"/>
      <x:c r="F94" s="36"/>
      <x:c r="G94" s="36"/>
      <x:c r="H94" s="36"/>
      <x:c r="I94" s="36"/>
      <x:c r="J94" s="36"/>
      <x:c r="K94" s="36"/>
      <x:c r="L94" s="36"/>
    </x:row>
    <x:row r="95" ht="70" customHeight="1">
      <x:c r="A95" s="36"/>
      <x:c r="B95" s="36"/>
      <x:c r="C95" s="36"/>
      <x:c r="D95" s="36"/>
      <x:c r="E95" s="36"/>
      <x:c r="F95" s="36"/>
      <x:c r="G95" s="36"/>
      <x:c r="H95" s="36"/>
      <x:c r="I95" s="36"/>
      <x:c r="J95" s="36"/>
      <x:c r="K95" s="36"/>
      <x:c r="L95" s="36"/>
    </x:row>
    <x:row r="96" ht="70" customHeight="1">
      <x:c r="A96" s="36"/>
      <x:c r="B96" s="36"/>
      <x:c r="C96" s="36"/>
      <x:c r="D96" s="36"/>
      <x:c r="E96" s="36"/>
      <x:c r="F96" s="36"/>
      <x:c r="G96" s="36"/>
      <x:c r="H96" s="36"/>
      <x:c r="I96" s="36"/>
      <x:c r="J96" s="36"/>
      <x:c r="K96" s="36"/>
      <x:c r="L96" s="36"/>
    </x:row>
    <x:row r="97" ht="70" customHeight="1">
      <x:c r="A97" s="36"/>
      <x:c r="B97" s="36"/>
      <x:c r="C97" s="36"/>
      <x:c r="D97" s="36"/>
      <x:c r="E97" s="36"/>
      <x:c r="F97" s="36"/>
      <x:c r="G97" s="36"/>
      <x:c r="H97" s="36"/>
      <x:c r="I97" s="36"/>
      <x:c r="J97" s="36"/>
      <x:c r="K97" s="36"/>
      <x:c r="L97" s="36"/>
    </x:row>
    <x:row r="98" ht="70" customHeight="1">
      <x:c r="A98" s="36"/>
      <x:c r="B98" s="36"/>
      <x:c r="C98" s="36"/>
      <x:c r="D98" s="36"/>
      <x:c r="E98" s="36"/>
      <x:c r="F98" s="36"/>
      <x:c r="G98" s="36"/>
      <x:c r="H98" s="36"/>
      <x:c r="I98" s="36"/>
      <x:c r="J98" s="36"/>
      <x:c r="K98" s="36"/>
      <x:c r="L98" s="36"/>
    </x:row>
    <x:row r="99" ht="70" customHeight="1">
      <x:c r="A99" s="36"/>
      <x:c r="B99" s="36"/>
      <x:c r="C99" s="36"/>
      <x:c r="D99" s="36"/>
      <x:c r="E99" s="36"/>
      <x:c r="F99" s="36"/>
      <x:c r="G99" s="36"/>
      <x:c r="H99" s="36"/>
      <x:c r="I99" s="36"/>
      <x:c r="J99" s="36"/>
      <x:c r="K99" s="36"/>
      <x:c r="L99" s="36"/>
    </x:row>
    <x:row r="100" ht="70" customHeight="1">
      <x:c r="A100" s="36"/>
      <x:c r="B100" s="36"/>
      <x:c r="C100" s="36"/>
      <x:c r="D100" s="36"/>
      <x:c r="E100" s="36"/>
      <x:c r="F100" s="36"/>
      <x:c r="G100" s="36"/>
      <x:c r="H100" s="36"/>
      <x:c r="I100" s="36"/>
      <x:c r="J100" s="36"/>
      <x:c r="K100" s="36"/>
      <x:c r="L100" s="36"/>
    </x:row>
  </x:sheetData>
  <x:mergeCells>
    <x:mergeCell ref="A1:L1"/>
    <x:mergeCell ref="A2:L2"/>
    <x:mergeCell ref="A12:L12"/>
    <x:mergeCell ref="A13:L13"/>
    <x:mergeCell ref="A15:L15"/>
    <x:mergeCell ref="A14:L14"/>
  </x:mergeCells>
  <x:pageMargins left="0.7" right="0.7" top="0.75" bottom="0.75" header="0.3" footer="0.3"/>
</x:worksheet>
</file>